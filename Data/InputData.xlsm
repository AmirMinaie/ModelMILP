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3ACF5B03-1D49-4195-8014-ED5E5A6EBB5E}" xr6:coauthVersionLast="45" xr6:coauthVersionMax="45" xr10:uidLastSave="{00000000-0000-0000-0000-000000000000}"/>
  <bookViews>
    <workbookView xWindow="-108" yWindow="-108" windowWidth="23256" windowHeight="12720" activeTab="1" xr2:uid="{00000000-000D-0000-FFFF-FFFF00000000}"/>
  </bookViews>
  <sheets>
    <sheet name="Set" sheetId="1" r:id="rId1"/>
    <sheet name="Paramter" sheetId="2" r:id="rId2"/>
    <sheet name="Sheet1" sheetId="4" r:id="rId3"/>
    <sheet name="Sheet3" sheetId="6" r:id="rId4"/>
    <sheet name="outPut" sheetId="7" r:id="rId5"/>
  </sheets>
  <functionGroups builtInGroupCount="19"/>
  <definedNames>
    <definedName name="_xlnm._FilterDatabase" localSheetId="4" hidden="1">outPut!$AF$1:$AJ$28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33" i="4" l="1"/>
  <c r="P32" i="4"/>
  <c r="P31" i="4"/>
  <c r="P30" i="4"/>
  <c r="P29" i="4"/>
  <c r="P28" i="4"/>
  <c r="N28" i="4"/>
  <c r="P27" i="4"/>
  <c r="N27" i="4"/>
  <c r="L27" i="4"/>
  <c r="J27" i="4"/>
  <c r="H27" i="4"/>
  <c r="F27" i="4"/>
  <c r="B27" i="4"/>
  <c r="P26" i="4"/>
  <c r="N26" i="4"/>
  <c r="L26" i="4"/>
  <c r="J26" i="4"/>
  <c r="H26" i="4"/>
  <c r="F26" i="4"/>
  <c r="D26" i="4"/>
  <c r="B26" i="4"/>
  <c r="P25" i="4"/>
  <c r="N25" i="4"/>
  <c r="L25" i="4"/>
  <c r="J25" i="4"/>
  <c r="H25" i="4"/>
  <c r="F25" i="4"/>
  <c r="D25" i="4"/>
  <c r="B25" i="4"/>
  <c r="P24" i="4"/>
  <c r="N24" i="4"/>
  <c r="L24" i="4"/>
  <c r="J24" i="4"/>
  <c r="H24" i="4"/>
  <c r="F24" i="4"/>
  <c r="D24" i="4"/>
  <c r="B24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H52" i="2"/>
  <c r="AH51" i="2"/>
  <c r="AH50" i="2"/>
  <c r="AH49" i="2"/>
  <c r="AH48" i="2"/>
  <c r="AH47" i="2"/>
  <c r="AH46" i="2"/>
  <c r="AH45" i="2"/>
  <c r="AH44" i="2"/>
  <c r="AH43" i="2"/>
  <c r="AT4" i="2"/>
  <c r="AE4" i="2"/>
  <c r="AB4" i="2"/>
  <c r="AZ3" i="2"/>
  <c r="AW3" i="2"/>
  <c r="AT3" i="2"/>
  <c r="AQ3" i="2"/>
  <c r="AN3" i="2"/>
  <c r="AK3" i="2"/>
  <c r="AH3" i="2"/>
  <c r="AE3" i="2"/>
  <c r="AB3" i="2"/>
</calcChain>
</file>

<file path=xl/sharedStrings.xml><?xml version="1.0" encoding="utf-8"?>
<sst xmlns="http://schemas.openxmlformats.org/spreadsheetml/2006/main" count="2551" uniqueCount="1248">
  <si>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</si>
  <si>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</si>
  <si>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</si>
  <si>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</si>
  <si>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</si>
  <si>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</si>
  <si>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</si>
  <si>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</si>
  <si>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</si>
  <si>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</si>
  <si>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</si>
  <si>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</si>
  <si>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</si>
  <si>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</si>
  <si>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</si>
  <si>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</si>
  <si>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</si>
  <si>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</si>
  <si>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</si>
  <si>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</si>
  <si>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</si>
  <si>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</si>
  <si>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</si>
  <si>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</si>
  <si>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</si>
  <si>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</si>
  <si>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</si>
  <si>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</si>
  <si>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</si>
  <si>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</si>
  <si>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</si>
  <si>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</si>
  <si>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</si>
  <si>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</si>
  <si>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</si>
  <si>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</si>
  <si>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</si>
  <si>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</si>
  <si>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</si>
  <si>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</si>
  <si>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</si>
  <si>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</si>
  <si>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</si>
  <si>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</si>
  <si>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</si>
  <si>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</si>
  <si>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</si>
  <si>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</si>
  <si>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</si>
  <si>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</si>
  <si>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</si>
  <si>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</si>
  <si>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</si>
  <si>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</si>
  <si>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</si>
  <si>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</si>
  <si>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</si>
  <si>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PZ1</t>
  </si>
  <si>
    <t>PZ2</t>
  </si>
  <si>
    <t>PZ3</t>
  </si>
  <si>
    <t>A</t>
  </si>
  <si>
    <t>k</t>
  </si>
  <si>
    <t>RM</t>
  </si>
  <si>
    <t>j</t>
  </si>
  <si>
    <t>CA</t>
  </si>
  <si>
    <t>ho</t>
  </si>
  <si>
    <t>hi</t>
  </si>
  <si>
    <t>BU</t>
  </si>
  <si>
    <t>r</t>
  </si>
  <si>
    <t>L1</t>
  </si>
  <si>
    <t>G1</t>
  </si>
  <si>
    <t>G2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</si>
  <si>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</si>
  <si>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</si>
  <si>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</si>
  <si>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</si>
  <si>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</si>
  <si>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</si>
  <si>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</si>
  <si>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</si>
  <si>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</si>
  <si>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</si>
  <si>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</si>
  <si>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</si>
  <si>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</si>
  <si>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</si>
  <si>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</si>
  <si>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l</t>
  </si>
  <si>
    <t>cj</t>
  </si>
  <si>
    <t>تعداد پله های نرخ انتشار کربن</t>
  </si>
  <si>
    <t>RE</t>
  </si>
  <si>
    <t>Cu</t>
  </si>
  <si>
    <t>BE</t>
  </si>
  <si>
    <t>be</t>
  </si>
  <si>
    <t xml:space="preserve">r </t>
  </si>
  <si>
    <t>مختصات نقاط</t>
  </si>
  <si>
    <t>x</t>
  </si>
  <si>
    <t>y</t>
  </si>
  <si>
    <t>استان</t>
  </si>
  <si>
    <t>شهر</t>
  </si>
  <si>
    <t>عرض جغرافیایی</t>
  </si>
  <si>
    <t>طول جغرافیایی</t>
  </si>
  <si>
    <t>استان اردبیل</t>
  </si>
  <si>
    <t>تازه‌کندانگوت</t>
  </si>
  <si>
    <t>خلخال</t>
  </si>
  <si>
    <t>کلور</t>
  </si>
  <si>
    <t>جعفرآباد</t>
  </si>
  <si>
    <t>گیوی</t>
  </si>
  <si>
    <t>مشگین‌شهر</t>
  </si>
  <si>
    <t>عنبران</t>
  </si>
  <si>
    <t>کوراییم</t>
  </si>
  <si>
    <t>گرمی</t>
  </si>
  <si>
    <t>اردبیل</t>
  </si>
  <si>
    <t>اصلاندوز</t>
  </si>
  <si>
    <t>لاهرود</t>
  </si>
  <si>
    <t>ابی‌بیگلو</t>
  </si>
  <si>
    <t>هیر</t>
  </si>
  <si>
    <t>هشجین</t>
  </si>
  <si>
    <t>پارس‌آباد</t>
  </si>
  <si>
    <t>سرعین</t>
  </si>
  <si>
    <t>بیله سوار</t>
  </si>
  <si>
    <t>رضی</t>
  </si>
  <si>
    <t>نمین</t>
  </si>
  <si>
    <t>نیر</t>
  </si>
  <si>
    <t>استان اصفهان</t>
  </si>
  <si>
    <t>علویچه</t>
  </si>
  <si>
    <t>نوش‌آباد</t>
  </si>
  <si>
    <t>بهارستان</t>
  </si>
  <si>
    <t>اردستان</t>
  </si>
  <si>
    <t>کهریزسنگ</t>
  </si>
  <si>
    <t>خوراسگان</t>
  </si>
  <si>
    <t>نصرآباد</t>
  </si>
  <si>
    <t>تیران</t>
  </si>
  <si>
    <t>خالدآباد</t>
  </si>
  <si>
    <t>خمینی شهر</t>
  </si>
  <si>
    <t>افوس</t>
  </si>
  <si>
    <t>گلپایگان</t>
  </si>
  <si>
    <t>باغ بهادران</t>
  </si>
  <si>
    <t>شاهین شهر</t>
  </si>
  <si>
    <t>بادرود</t>
  </si>
  <si>
    <t>سده لنجان</t>
  </si>
  <si>
    <t>دولت‌آباد</t>
  </si>
  <si>
    <t>خوانسار</t>
  </si>
  <si>
    <t>نجف‌آباد</t>
  </si>
  <si>
    <t>زیباشهر</t>
  </si>
  <si>
    <t>فولادشهر</t>
  </si>
  <si>
    <t>سمیرم</t>
  </si>
  <si>
    <t>اصفهان</t>
  </si>
  <si>
    <t>کلیشادوسودرجان</t>
  </si>
  <si>
    <t>حنا</t>
  </si>
  <si>
    <t>فریدون‌شهر</t>
  </si>
  <si>
    <t>برزک</t>
  </si>
  <si>
    <t>کرکوند</t>
  </si>
  <si>
    <t>چادگان</t>
  </si>
  <si>
    <t>خورزوق</t>
  </si>
  <si>
    <t>جندق</t>
  </si>
  <si>
    <t>سفیدشهر</t>
  </si>
  <si>
    <t>گز</t>
  </si>
  <si>
    <t>مهاباد</t>
  </si>
  <si>
    <t>خور</t>
  </si>
  <si>
    <t>ابریشم</t>
  </si>
  <si>
    <t>بویین و میاندشت</t>
  </si>
  <si>
    <t>نایین</t>
  </si>
  <si>
    <t>اژیه</t>
  </si>
  <si>
    <t>نیاسر</t>
  </si>
  <si>
    <t>سگزی</t>
  </si>
  <si>
    <t>منظریه</t>
  </si>
  <si>
    <t>داران</t>
  </si>
  <si>
    <t>دهاقان</t>
  </si>
  <si>
    <t>گلشهر</t>
  </si>
  <si>
    <t>آران و بیدگل</t>
  </si>
  <si>
    <t>دهق</t>
  </si>
  <si>
    <t>هرند</t>
  </si>
  <si>
    <t>ورنامخواست</t>
  </si>
  <si>
    <t>قهدریجان</t>
  </si>
  <si>
    <t>رضوانشهر</t>
  </si>
  <si>
    <t>شهرضا</t>
  </si>
  <si>
    <t>نطنز</t>
  </si>
  <si>
    <t>کمه</t>
  </si>
  <si>
    <t>نیک‌آباد</t>
  </si>
  <si>
    <t>عسگران</t>
  </si>
  <si>
    <t>انارک</t>
  </si>
  <si>
    <t>وزوان</t>
  </si>
  <si>
    <t>زرین شهر</t>
  </si>
  <si>
    <t>دامنه</t>
  </si>
  <si>
    <t>چرمهین</t>
  </si>
  <si>
    <t>گلدشت</t>
  </si>
  <si>
    <t>فلاورجان</t>
  </si>
  <si>
    <t>مبارکه</t>
  </si>
  <si>
    <t>بهاران شهر</t>
  </si>
  <si>
    <t>زاینده رود</t>
  </si>
  <si>
    <t>رزوه</t>
  </si>
  <si>
    <t>گوگد</t>
  </si>
  <si>
    <t>برف انبار</t>
  </si>
  <si>
    <t>تودشک</t>
  </si>
  <si>
    <t>حبیب‌آباد</t>
  </si>
  <si>
    <t>طالخونچه</t>
  </si>
  <si>
    <t>کوشک</t>
  </si>
  <si>
    <t>کاشان</t>
  </si>
  <si>
    <t>دیزیچه</t>
  </si>
  <si>
    <t>پیربکران</t>
  </si>
  <si>
    <t>جوشقان وکامو</t>
  </si>
  <si>
    <t>ونک</t>
  </si>
  <si>
    <t>ابوزیدآباد</t>
  </si>
  <si>
    <t>قمصر</t>
  </si>
  <si>
    <t>مشکات</t>
  </si>
  <si>
    <t>چمگردان</t>
  </si>
  <si>
    <t>کمشچه</t>
  </si>
  <si>
    <t>کوهپایه</t>
  </si>
  <si>
    <t>دستگرد</t>
  </si>
  <si>
    <t>ایمانشهر</t>
  </si>
  <si>
    <t>درچه پیاز</t>
  </si>
  <si>
    <t>زواره</t>
  </si>
  <si>
    <t>ورزنه</t>
  </si>
  <si>
    <t>استان ایلام</t>
  </si>
  <si>
    <t>دهلران</t>
  </si>
  <si>
    <t>سرابله</t>
  </si>
  <si>
    <t>بدره</t>
  </si>
  <si>
    <t>دره شهر</t>
  </si>
  <si>
    <t>ایوان</t>
  </si>
  <si>
    <t>مورموری</t>
  </si>
  <si>
    <t>توحید</t>
  </si>
  <si>
    <t>میمه</t>
  </si>
  <si>
    <t>پهله</t>
  </si>
  <si>
    <t>آبدانان</t>
  </si>
  <si>
    <t>مهران</t>
  </si>
  <si>
    <t>آسمان‌آباد</t>
  </si>
  <si>
    <t>زرنه</t>
  </si>
  <si>
    <t>لومار</t>
  </si>
  <si>
    <t>ایلام</t>
  </si>
  <si>
    <t>ارکواز</t>
  </si>
  <si>
    <t>موسیان</t>
  </si>
  <si>
    <t>چوار</t>
  </si>
  <si>
    <t>استان آذربایجان شرقی</t>
  </si>
  <si>
    <t>تبریز</t>
  </si>
  <si>
    <t>استان بوشهر</t>
  </si>
  <si>
    <t>بردخون</t>
  </si>
  <si>
    <t>بوشهر</t>
  </si>
  <si>
    <t>امام حسن</t>
  </si>
  <si>
    <t>کلمه</t>
  </si>
  <si>
    <t>طاهری</t>
  </si>
  <si>
    <t>جم</t>
  </si>
  <si>
    <t>شبانکاره</t>
  </si>
  <si>
    <t>بندرگناوه</t>
  </si>
  <si>
    <t>خورموج</t>
  </si>
  <si>
    <t>بنک</t>
  </si>
  <si>
    <t>برازجان</t>
  </si>
  <si>
    <t>چغادک</t>
  </si>
  <si>
    <t>وحدتیه</t>
  </si>
  <si>
    <t>نخل تقی</t>
  </si>
  <si>
    <t>آبدان</t>
  </si>
  <si>
    <t>سعدآباد</t>
  </si>
  <si>
    <t>دالکی</t>
  </si>
  <si>
    <t>خارک</t>
  </si>
  <si>
    <t>کاکی</t>
  </si>
  <si>
    <t>ریز</t>
  </si>
  <si>
    <t>اهرم</t>
  </si>
  <si>
    <t>دلوار</t>
  </si>
  <si>
    <t>عسلویه</t>
  </si>
  <si>
    <t>تنگ ارم</t>
  </si>
  <si>
    <t>استان تهران</t>
  </si>
  <si>
    <t>ری</t>
  </si>
  <si>
    <t>شهرجدیدهشتگرد</t>
  </si>
  <si>
    <t>نظرآباد</t>
  </si>
  <si>
    <t>ورامین</t>
  </si>
  <si>
    <t>چهاردانگه</t>
  </si>
  <si>
    <t>محمدشهر</t>
  </si>
  <si>
    <t>شهریار</t>
  </si>
  <si>
    <t>شاهدشهر</t>
  </si>
  <si>
    <t>نسیم شهر</t>
  </si>
  <si>
    <t>بومهن</t>
  </si>
  <si>
    <t>فردوسیه</t>
  </si>
  <si>
    <t>ارجمند</t>
  </si>
  <si>
    <t>طالقان</t>
  </si>
  <si>
    <t>گلستان</t>
  </si>
  <si>
    <t>شریف‌آباد</t>
  </si>
  <si>
    <t>پردیس</t>
  </si>
  <si>
    <t>اسلامشهر</t>
  </si>
  <si>
    <t>صباشهر</t>
  </si>
  <si>
    <t>وحیدیه</t>
  </si>
  <si>
    <t>دماوند</t>
  </si>
  <si>
    <t>صالح‌آباد</t>
  </si>
  <si>
    <t>کمال شهر</t>
  </si>
  <si>
    <t>تهران</t>
  </si>
  <si>
    <t>فشم</t>
  </si>
  <si>
    <t>آبعلی</t>
  </si>
  <si>
    <t>کهریزک</t>
  </si>
  <si>
    <t>حسن‌آباد</t>
  </si>
  <si>
    <t>قدس</t>
  </si>
  <si>
    <t>چهارباغ</t>
  </si>
  <si>
    <t>ملارد</t>
  </si>
  <si>
    <t>باقرشهر</t>
  </si>
  <si>
    <t>قرچک</t>
  </si>
  <si>
    <t>رودهن</t>
  </si>
  <si>
    <t>پیشوا</t>
  </si>
  <si>
    <t>استان البرز</t>
  </si>
  <si>
    <t>کرج</t>
  </si>
  <si>
    <t>نصیرآباد</t>
  </si>
  <si>
    <t>اندیشه</t>
  </si>
  <si>
    <t>کوهسار</t>
  </si>
  <si>
    <t>کیلان</t>
  </si>
  <si>
    <t>مشکین دشت</t>
  </si>
  <si>
    <t>فیروزکوه</t>
  </si>
  <si>
    <t>گرمدره</t>
  </si>
  <si>
    <t>پاکدشت</t>
  </si>
  <si>
    <t>هشتگرد</t>
  </si>
  <si>
    <t>اشتهارد</t>
  </si>
  <si>
    <t>آبسرد</t>
  </si>
  <si>
    <t>صفادشت</t>
  </si>
  <si>
    <t>لواسان</t>
  </si>
  <si>
    <t>ماهدشت</t>
  </si>
  <si>
    <t>جوادآباد</t>
  </si>
  <si>
    <t>باغستان</t>
  </si>
  <si>
    <t>استان چهارمحال و بختیاری</t>
  </si>
  <si>
    <t>کاکلک</t>
  </si>
  <si>
    <t>طاقانک</t>
  </si>
  <si>
    <t>بروجن</t>
  </si>
  <si>
    <t>لردگان</t>
  </si>
  <si>
    <t>چلگرد</t>
  </si>
  <si>
    <t>باباحیدر</t>
  </si>
  <si>
    <t>سامان</t>
  </si>
  <si>
    <t>فارسان</t>
  </si>
  <si>
    <t>مال خلیفه</t>
  </si>
  <si>
    <t>بلداجی</t>
  </si>
  <si>
    <t>کیان</t>
  </si>
  <si>
    <t>الونی</t>
  </si>
  <si>
    <t>سودجان</t>
  </si>
  <si>
    <t>نافچ</t>
  </si>
  <si>
    <t>هفشجان</t>
  </si>
  <si>
    <t>جونقان</t>
  </si>
  <si>
    <t>گندمان</t>
  </si>
  <si>
    <t>شهرکرد</t>
  </si>
  <si>
    <t>سورشجان</t>
  </si>
  <si>
    <t>شلمزار</t>
  </si>
  <si>
    <t>اردل</t>
  </si>
  <si>
    <t>ناغان</t>
  </si>
  <si>
    <t>بن (شهرکرد)</t>
  </si>
  <si>
    <t>سفیددشت</t>
  </si>
  <si>
    <t>فرخ شهر</t>
  </si>
  <si>
    <t>گهرو</t>
  </si>
  <si>
    <t>استان خراسان جنوبی</t>
  </si>
  <si>
    <t>اسفدن</t>
  </si>
  <si>
    <t>سربیشه</t>
  </si>
  <si>
    <t>فردوس</t>
  </si>
  <si>
    <t>شوسف</t>
  </si>
  <si>
    <t>آرین‌شهر</t>
  </si>
  <si>
    <t>سرایان</t>
  </si>
  <si>
    <t>ایسک</t>
  </si>
  <si>
    <t>حاجی‌آباد</t>
  </si>
  <si>
    <t>خوسف</t>
  </si>
  <si>
    <t>زهان</t>
  </si>
  <si>
    <t>نیمبلوک</t>
  </si>
  <si>
    <t>مود</t>
  </si>
  <si>
    <t>بیرجند</t>
  </si>
  <si>
    <t>نهبندان</t>
  </si>
  <si>
    <t>اسلامیه</t>
  </si>
  <si>
    <t>اسدیه</t>
  </si>
  <si>
    <t>بشرویه</t>
  </si>
  <si>
    <t>سه قلعه</t>
  </si>
  <si>
    <t>خضری دشت بیاض</t>
  </si>
  <si>
    <t>قاین</t>
  </si>
  <si>
    <t>استان خراسان رضوی</t>
  </si>
  <si>
    <t>گناباد</t>
  </si>
  <si>
    <t>چکنه</t>
  </si>
  <si>
    <t>ششتمد</t>
  </si>
  <si>
    <t>چاپشلو</t>
  </si>
  <si>
    <t>سبزوار</t>
  </si>
  <si>
    <t>نشتیفان</t>
  </si>
  <si>
    <t>نوخندان</t>
  </si>
  <si>
    <t>تربت جام</t>
  </si>
  <si>
    <t>سرخس</t>
  </si>
  <si>
    <t>طرقبه</t>
  </si>
  <si>
    <t>فریمان</t>
  </si>
  <si>
    <t>باخرز</t>
  </si>
  <si>
    <t>قدمگاه</t>
  </si>
  <si>
    <t>قوچان</t>
  </si>
  <si>
    <t>خرو</t>
  </si>
  <si>
    <t>تربت حیدریه</t>
  </si>
  <si>
    <t>مشهدریزه</t>
  </si>
  <si>
    <t>فیض‌آباد</t>
  </si>
  <si>
    <t>بردسکن</t>
  </si>
  <si>
    <t>جنگل</t>
  </si>
  <si>
    <t>کلات</t>
  </si>
  <si>
    <t>بجستان</t>
  </si>
  <si>
    <t>فرهادگرد</t>
  </si>
  <si>
    <t>نیشابور</t>
  </si>
  <si>
    <t>باجگیران</t>
  </si>
  <si>
    <t>قاسم‌آباد</t>
  </si>
  <si>
    <t>نقاب</t>
  </si>
  <si>
    <t>کاشمر</t>
  </si>
  <si>
    <t>ملک‌آباد</t>
  </si>
  <si>
    <t>نیل شهر</t>
  </si>
  <si>
    <t>لطف‌آباد</t>
  </si>
  <si>
    <t>مشهد</t>
  </si>
  <si>
    <t>فیروزه</t>
  </si>
  <si>
    <t>ریوش</t>
  </si>
  <si>
    <t>خلیل‌آباد</t>
  </si>
  <si>
    <t>سفیدسنگ</t>
  </si>
  <si>
    <t>یونسی</t>
  </si>
  <si>
    <t>تایباد</t>
  </si>
  <si>
    <t>کاخک</t>
  </si>
  <si>
    <t>چناران</t>
  </si>
  <si>
    <t>درود</t>
  </si>
  <si>
    <t>رضویه</t>
  </si>
  <si>
    <t>مزداوند</t>
  </si>
  <si>
    <t>درگز</t>
  </si>
  <si>
    <t>شاندیز</t>
  </si>
  <si>
    <t>کندر</t>
  </si>
  <si>
    <t>قلندرآباد</t>
  </si>
  <si>
    <t>شهرزو</t>
  </si>
  <si>
    <t>روداب</t>
  </si>
  <si>
    <t>سنگان</t>
  </si>
  <si>
    <t>سلطان‌آباد</t>
  </si>
  <si>
    <t>داورزن</t>
  </si>
  <si>
    <t>کاریز</t>
  </si>
  <si>
    <t>خواف</t>
  </si>
  <si>
    <t>سلامی</t>
  </si>
  <si>
    <t>جغتای</t>
  </si>
  <si>
    <t>بیدخت</t>
  </si>
  <si>
    <t>رشتخوار</t>
  </si>
  <si>
    <t>کدکن</t>
  </si>
  <si>
    <t>استان خراسان شمالی</t>
  </si>
  <si>
    <t>شوقان</t>
  </si>
  <si>
    <t>لوجلی</t>
  </si>
  <si>
    <t>گرمه جاجرم</t>
  </si>
  <si>
    <t>قاضی</t>
  </si>
  <si>
    <t>حصارگرمخان</t>
  </si>
  <si>
    <t>اسفراین</t>
  </si>
  <si>
    <t>شیروان</t>
  </si>
  <si>
    <t>فاروج</t>
  </si>
  <si>
    <t>سنخواست</t>
  </si>
  <si>
    <t>بجنورد</t>
  </si>
  <si>
    <t>پیش قلعه</t>
  </si>
  <si>
    <t>درق</t>
  </si>
  <si>
    <t>راز</t>
  </si>
  <si>
    <t>آشخانه</t>
  </si>
  <si>
    <t>صفی‌آباد</t>
  </si>
  <si>
    <t>استان خوزستان</t>
  </si>
  <si>
    <t>آبادان</t>
  </si>
  <si>
    <t>بندرامام خمینی</t>
  </si>
  <si>
    <t>شوش</t>
  </si>
  <si>
    <t>خرمشهر</t>
  </si>
  <si>
    <t>استان زنجان</t>
  </si>
  <si>
    <t>دندی</t>
  </si>
  <si>
    <t>حلب</t>
  </si>
  <si>
    <t>خرمدره</t>
  </si>
  <si>
    <t>سجاس</t>
  </si>
  <si>
    <t>ماه نشان</t>
  </si>
  <si>
    <t>زنجان</t>
  </si>
  <si>
    <t>هیدج</t>
  </si>
  <si>
    <t>گرماب</t>
  </si>
  <si>
    <t>چورزق</t>
  </si>
  <si>
    <t>زرین‌آباد</t>
  </si>
  <si>
    <t>سلطانیه</t>
  </si>
  <si>
    <t>زرین رود</t>
  </si>
  <si>
    <t>آب‌بر</t>
  </si>
  <si>
    <t>قیدار</t>
  </si>
  <si>
    <t>ابهر</t>
  </si>
  <si>
    <t>صایین‌قلعه</t>
  </si>
  <si>
    <t>استان سمنان</t>
  </si>
  <si>
    <t>ایوانکی</t>
  </si>
  <si>
    <t>گرمسار</t>
  </si>
  <si>
    <t>سمنان</t>
  </si>
  <si>
    <t>امیریه</t>
  </si>
  <si>
    <t>سرخه</t>
  </si>
  <si>
    <t>بیارجمند</t>
  </si>
  <si>
    <t>مجن</t>
  </si>
  <si>
    <t>شاهرود</t>
  </si>
  <si>
    <t>بسطام</t>
  </si>
  <si>
    <t>دیباج</t>
  </si>
  <si>
    <t>شهمیرزاد</t>
  </si>
  <si>
    <t>دامغان</t>
  </si>
  <si>
    <t>میامی</t>
  </si>
  <si>
    <t>کلاته خیج</t>
  </si>
  <si>
    <t>آرادان</t>
  </si>
  <si>
    <t>مهدی شهر</t>
  </si>
  <si>
    <t>استان سیستان و بلوچستان</t>
  </si>
  <si>
    <t>زهک</t>
  </si>
  <si>
    <t>محمدآباد</t>
  </si>
  <si>
    <t>ایرانشهر</t>
  </si>
  <si>
    <t>اسپکه</t>
  </si>
  <si>
    <t>راسک</t>
  </si>
  <si>
    <t>نصرت‌آباد</t>
  </si>
  <si>
    <t>زاهدان</t>
  </si>
  <si>
    <t>جالق</t>
  </si>
  <si>
    <t>سرباز</t>
  </si>
  <si>
    <t>نیک شهر</t>
  </si>
  <si>
    <t>زابل</t>
  </si>
  <si>
    <t>گلمورتی</t>
  </si>
  <si>
    <t>کنارک</t>
  </si>
  <si>
    <t>سراوان</t>
  </si>
  <si>
    <t>قصرقند</t>
  </si>
  <si>
    <t>سوران</t>
  </si>
  <si>
    <t>دوست محمد</t>
  </si>
  <si>
    <t>سیرکان</t>
  </si>
  <si>
    <t>نوک‌آباد</t>
  </si>
  <si>
    <t>میرجاوه</t>
  </si>
  <si>
    <t>خاش</t>
  </si>
  <si>
    <t>زابلی</t>
  </si>
  <si>
    <t>نگور</t>
  </si>
  <si>
    <t>بزمان</t>
  </si>
  <si>
    <t>ادیمی</t>
  </si>
  <si>
    <t>بنجار</t>
  </si>
  <si>
    <t>بمپور</t>
  </si>
  <si>
    <t>پیشین</t>
  </si>
  <si>
    <t>بنت</t>
  </si>
  <si>
    <t>فنوج</t>
  </si>
  <si>
    <t>استان فارس</t>
  </si>
  <si>
    <t>گراش</t>
  </si>
  <si>
    <t>جهرم</t>
  </si>
  <si>
    <t>جنت شهر</t>
  </si>
  <si>
    <t>ایج</t>
  </si>
  <si>
    <t>ایزدخواست</t>
  </si>
  <si>
    <t>کنارتخته</t>
  </si>
  <si>
    <t>مرودشت</t>
  </si>
  <si>
    <t>داراب</t>
  </si>
  <si>
    <t>فراشبند</t>
  </si>
  <si>
    <t>جویم</t>
  </si>
  <si>
    <t>فیروزآباد</t>
  </si>
  <si>
    <t>کامفیروز</t>
  </si>
  <si>
    <t>خنج</t>
  </si>
  <si>
    <t>گله دار</t>
  </si>
  <si>
    <t>بوانات</t>
  </si>
  <si>
    <t>وراوی</t>
  </si>
  <si>
    <t>بیرم</t>
  </si>
  <si>
    <t>رونیز</t>
  </si>
  <si>
    <t>دبیران</t>
  </si>
  <si>
    <t>قادرآباد</t>
  </si>
  <si>
    <t>فسا</t>
  </si>
  <si>
    <t>مهر</t>
  </si>
  <si>
    <t>سده</t>
  </si>
  <si>
    <t>اوز</t>
  </si>
  <si>
    <t>نودان</t>
  </si>
  <si>
    <t>مشکان</t>
  </si>
  <si>
    <t>سعادت شهر</t>
  </si>
  <si>
    <t>خاوران</t>
  </si>
  <si>
    <t>آباده</t>
  </si>
  <si>
    <t>ششده</t>
  </si>
  <si>
    <t>کازرون</t>
  </si>
  <si>
    <t>اشکنان</t>
  </si>
  <si>
    <t>شهرپیر</t>
  </si>
  <si>
    <t>قطب‌آباد</t>
  </si>
  <si>
    <t>لپویی</t>
  </si>
  <si>
    <t>لار</t>
  </si>
  <si>
    <t>زرقان</t>
  </si>
  <si>
    <t>سروستان</t>
  </si>
  <si>
    <t>خشت</t>
  </si>
  <si>
    <t>افزر</t>
  </si>
  <si>
    <t>دهستان نوبندگان</t>
  </si>
  <si>
    <t>سیدان</t>
  </si>
  <si>
    <t>بنارویه</t>
  </si>
  <si>
    <t>زاهدشهر</t>
  </si>
  <si>
    <t>باب انار</t>
  </si>
  <si>
    <t>لامرد</t>
  </si>
  <si>
    <t>قیر</t>
  </si>
  <si>
    <t>بیضا</t>
  </si>
  <si>
    <t>میمند</t>
  </si>
  <si>
    <t>استهبان</t>
  </si>
  <si>
    <t>ارسنجان</t>
  </si>
  <si>
    <t>شیراز</t>
  </si>
  <si>
    <t>آباده طشک</t>
  </si>
  <si>
    <t>نی ریز</t>
  </si>
  <si>
    <t>اقلید</t>
  </si>
  <si>
    <t>صفاشهر</t>
  </si>
  <si>
    <t>مصیری</t>
  </si>
  <si>
    <t>سورمق</t>
  </si>
  <si>
    <t>اهل</t>
  </si>
  <si>
    <t>قایمیه</t>
  </si>
  <si>
    <t>داریان</t>
  </si>
  <si>
    <t>کوار</t>
  </si>
  <si>
    <t>بالاده</t>
  </si>
  <si>
    <t>صغاد</t>
  </si>
  <si>
    <t>خرامه</t>
  </si>
  <si>
    <t>بهمن</t>
  </si>
  <si>
    <t>علامرودشت</t>
  </si>
  <si>
    <t>استان قزوین</t>
  </si>
  <si>
    <t>بیدستان</t>
  </si>
  <si>
    <t>بویین زهرا</t>
  </si>
  <si>
    <t>محمودآبادنمونه</t>
  </si>
  <si>
    <t>آبگرم</t>
  </si>
  <si>
    <t>خرمدشت</t>
  </si>
  <si>
    <t>رازمیان</t>
  </si>
  <si>
    <t>اسفرورین</t>
  </si>
  <si>
    <t>آبیک</t>
  </si>
  <si>
    <t>اقبالیه</t>
  </si>
  <si>
    <t>سیردان</t>
  </si>
  <si>
    <t>قزوین</t>
  </si>
  <si>
    <t>ارداق</t>
  </si>
  <si>
    <t>الوند</t>
  </si>
  <si>
    <t>سگزآباد</t>
  </si>
  <si>
    <t>دانسفهان</t>
  </si>
  <si>
    <t>معلم کلایه</t>
  </si>
  <si>
    <t>تاکستان</t>
  </si>
  <si>
    <t>اوج</t>
  </si>
  <si>
    <t>نرجه</t>
  </si>
  <si>
    <t>خاکعلی</t>
  </si>
  <si>
    <t>شال</t>
  </si>
  <si>
    <t>کوهین</t>
  </si>
  <si>
    <t>محمدیه</t>
  </si>
  <si>
    <t>استان قم</t>
  </si>
  <si>
    <t>جعفریه</t>
  </si>
  <si>
    <t>کهک</t>
  </si>
  <si>
    <t>قنوات</t>
  </si>
  <si>
    <t>دستجرد</t>
  </si>
  <si>
    <t>قم</t>
  </si>
  <si>
    <t>استان کردستان</t>
  </si>
  <si>
    <t>ارمرده</t>
  </si>
  <si>
    <t>دهگلان</t>
  </si>
  <si>
    <t>زرینه</t>
  </si>
  <si>
    <t>کانی سور</t>
  </si>
  <si>
    <t>قروه</t>
  </si>
  <si>
    <t>بانه</t>
  </si>
  <si>
    <t>مریوان</t>
  </si>
  <si>
    <t>سروآباد</t>
  </si>
  <si>
    <t>سنندج</t>
  </si>
  <si>
    <t>یاسوکند</t>
  </si>
  <si>
    <t>چناره</t>
  </si>
  <si>
    <t>دیواندره</t>
  </si>
  <si>
    <t>دزج</t>
  </si>
  <si>
    <t>بویین سفلی</t>
  </si>
  <si>
    <t>سریش‌آباد</t>
  </si>
  <si>
    <t>دلبران</t>
  </si>
  <si>
    <t>صاحب</t>
  </si>
  <si>
    <t>بیجار</t>
  </si>
  <si>
    <t>بابارشانی</t>
  </si>
  <si>
    <t>سقز</t>
  </si>
  <si>
    <t>موچش</t>
  </si>
  <si>
    <t>کامیاران</t>
  </si>
  <si>
    <t>شویشه</t>
  </si>
  <si>
    <t>استان کرمان</t>
  </si>
  <si>
    <t>سیرجان</t>
  </si>
  <si>
    <t>فهرج</t>
  </si>
  <si>
    <t>کشکوییه</t>
  </si>
  <si>
    <t>زرند</t>
  </si>
  <si>
    <t>گلباف</t>
  </si>
  <si>
    <t>ارزوییه</t>
  </si>
  <si>
    <t>مردهک</t>
  </si>
  <si>
    <t>زنگی‌آباد</t>
  </si>
  <si>
    <t>بافت</t>
  </si>
  <si>
    <t>کوهبنان</t>
  </si>
  <si>
    <t>دهج</t>
  </si>
  <si>
    <t>بردسیر</t>
  </si>
  <si>
    <t>عنبرآباد</t>
  </si>
  <si>
    <t>پاریز</t>
  </si>
  <si>
    <t>بزنجان</t>
  </si>
  <si>
    <t>قلعه گنج</t>
  </si>
  <si>
    <t>راور</t>
  </si>
  <si>
    <t>چترود</t>
  </si>
  <si>
    <t>رابر</t>
  </si>
  <si>
    <t>یزدان شهر</t>
  </si>
  <si>
    <t>نجف شهر</t>
  </si>
  <si>
    <t>نگار</t>
  </si>
  <si>
    <t>اختیارآباد</t>
  </si>
  <si>
    <t>هجدک</t>
  </si>
  <si>
    <t>بهرمان</t>
  </si>
  <si>
    <t>رودبار</t>
  </si>
  <si>
    <t>محی‌آباد</t>
  </si>
  <si>
    <t>خانوک</t>
  </si>
  <si>
    <t>راین</t>
  </si>
  <si>
    <t>جوپار</t>
  </si>
  <si>
    <t>گلزار</t>
  </si>
  <si>
    <t>شهداد</t>
  </si>
  <si>
    <t>کهنوج</t>
  </si>
  <si>
    <t>جبالبارز</t>
  </si>
  <si>
    <t>بم</t>
  </si>
  <si>
    <t>رفسنجان</t>
  </si>
  <si>
    <t>جیرفت</t>
  </si>
  <si>
    <t>بروات</t>
  </si>
  <si>
    <t>منوجان</t>
  </si>
  <si>
    <t>شهربابک</t>
  </si>
  <si>
    <t>فاریاب</t>
  </si>
  <si>
    <t>اندوهجرد</t>
  </si>
  <si>
    <t>نرماشیر</t>
  </si>
  <si>
    <t>باغین</t>
  </si>
  <si>
    <t>انار</t>
  </si>
  <si>
    <t>مس سرچشمه</t>
  </si>
  <si>
    <t>کرمان</t>
  </si>
  <si>
    <t>درب بهشت</t>
  </si>
  <si>
    <t>نودژ</t>
  </si>
  <si>
    <t>زیدآباد</t>
  </si>
  <si>
    <t>حسین‌آباد</t>
  </si>
  <si>
    <t>کیانشهر</t>
  </si>
  <si>
    <t>ماهان</t>
  </si>
  <si>
    <t>کاظم‌آباد</t>
  </si>
  <si>
    <t>نظام شهر</t>
  </si>
  <si>
    <t>استان کهگیلویه و بویراحمد</t>
  </si>
  <si>
    <t>سوق</t>
  </si>
  <si>
    <t>چرام</t>
  </si>
  <si>
    <t>لیکک</t>
  </si>
  <si>
    <t>مارگون</t>
  </si>
  <si>
    <t>سی سخت</t>
  </si>
  <si>
    <t>قلعه رییسی</t>
  </si>
  <si>
    <t>دیشموک</t>
  </si>
  <si>
    <t>یاسوج</t>
  </si>
  <si>
    <t>دهدشت</t>
  </si>
  <si>
    <t>دوگنبدان</t>
  </si>
  <si>
    <t>گراب سفلی</t>
  </si>
  <si>
    <t>باشت</t>
  </si>
  <si>
    <t>لنده</t>
  </si>
  <si>
    <t>استان گلستان</t>
  </si>
  <si>
    <t>دلند</t>
  </si>
  <si>
    <t>نوکنده</t>
  </si>
  <si>
    <t>نوده خاندوز</t>
  </si>
  <si>
    <t>سیمین شهر</t>
  </si>
  <si>
    <t>کلاله</t>
  </si>
  <si>
    <t>گمیش تپه</t>
  </si>
  <si>
    <t>گرگان</t>
  </si>
  <si>
    <t>فاضل‌آباد</t>
  </si>
  <si>
    <t>رامیان</t>
  </si>
  <si>
    <t>مینودشت</t>
  </si>
  <si>
    <t>کردکوی</t>
  </si>
  <si>
    <t>گالیکش</t>
  </si>
  <si>
    <t>خان ببین</t>
  </si>
  <si>
    <t>نگین شهر</t>
  </si>
  <si>
    <t>انبارالوم</t>
  </si>
  <si>
    <t>علی‌آباد</t>
  </si>
  <si>
    <t>اینچه برون</t>
  </si>
  <si>
    <t>آزادشهر</t>
  </si>
  <si>
    <t>آق‌قلا</t>
  </si>
  <si>
    <t>سرخنکلاته</t>
  </si>
  <si>
    <t>استان گیلان</t>
  </si>
  <si>
    <t>رشت</t>
  </si>
  <si>
    <t>لاهیجان</t>
  </si>
  <si>
    <t>استان لرستان</t>
  </si>
  <si>
    <t>خرم‌آباد</t>
  </si>
  <si>
    <t>الیگودرز</t>
  </si>
  <si>
    <t>ازنا</t>
  </si>
  <si>
    <t>پلدختر</t>
  </si>
  <si>
    <t>بروجرد</t>
  </si>
  <si>
    <t>گراب</t>
  </si>
  <si>
    <t>نورآباد</t>
  </si>
  <si>
    <t>سراب دوره</t>
  </si>
  <si>
    <t>چغلوندی</t>
  </si>
  <si>
    <t>چالانچولان</t>
  </si>
  <si>
    <t>زاغه</t>
  </si>
  <si>
    <t>اشترینان</t>
  </si>
  <si>
    <t>دورود</t>
  </si>
  <si>
    <t>کوهدشت</t>
  </si>
  <si>
    <t>کونانی</t>
  </si>
  <si>
    <t>درب گنبد</t>
  </si>
  <si>
    <t>چقابل</t>
  </si>
  <si>
    <t>الشتر</t>
  </si>
  <si>
    <t>معمولان</t>
  </si>
  <si>
    <t>سپیددشت</t>
  </si>
  <si>
    <t>محمودوند</t>
  </si>
  <si>
    <t>استان مازندران</t>
  </si>
  <si>
    <t>ساری</t>
  </si>
  <si>
    <t>استان هرمزگان</t>
  </si>
  <si>
    <t>ابوموسی</t>
  </si>
  <si>
    <t>هرمز</t>
  </si>
  <si>
    <t>میناب</t>
  </si>
  <si>
    <t>خمیر</t>
  </si>
  <si>
    <t>بندرعباس</t>
  </si>
  <si>
    <t>سیریک</t>
  </si>
  <si>
    <t>جناح</t>
  </si>
  <si>
    <t>کنگ</t>
  </si>
  <si>
    <t>فارغان</t>
  </si>
  <si>
    <t>گاوبندی</t>
  </si>
  <si>
    <t>درگهان</t>
  </si>
  <si>
    <t>زیارتعلی</t>
  </si>
  <si>
    <t>قشم</t>
  </si>
  <si>
    <t>رودان</t>
  </si>
  <si>
    <t>بستک</t>
  </si>
  <si>
    <t>کیش</t>
  </si>
  <si>
    <t>سوزا</t>
  </si>
  <si>
    <t>فین</t>
  </si>
  <si>
    <t>دهبارز</t>
  </si>
  <si>
    <t>استان همدان</t>
  </si>
  <si>
    <t>برزول</t>
  </si>
  <si>
    <t>شیرین سو</t>
  </si>
  <si>
    <t>کبودراهنگ</t>
  </si>
  <si>
    <t>سرکان</t>
  </si>
  <si>
    <t>فرسفج</t>
  </si>
  <si>
    <t>همدان</t>
  </si>
  <si>
    <t>اسدآباد</t>
  </si>
  <si>
    <t>دمق</t>
  </si>
  <si>
    <t>بهار</t>
  </si>
  <si>
    <t>ملایر</t>
  </si>
  <si>
    <t>جوکار</t>
  </si>
  <si>
    <t>سامن</t>
  </si>
  <si>
    <t>فامنین</t>
  </si>
  <si>
    <t>لالجین</t>
  </si>
  <si>
    <t>زنگنه</t>
  </si>
  <si>
    <t>گیان</t>
  </si>
  <si>
    <t>ازندریان</t>
  </si>
  <si>
    <t>فیروزان</t>
  </si>
  <si>
    <t>رزن</t>
  </si>
  <si>
    <t>مریانج</t>
  </si>
  <si>
    <t>جورقان</t>
  </si>
  <si>
    <t>تویسرکان</t>
  </si>
  <si>
    <t>قهاوند</t>
  </si>
  <si>
    <t>نهاوند</t>
  </si>
  <si>
    <t>گل تپه</t>
  </si>
  <si>
    <t>استان یزد</t>
  </si>
  <si>
    <t>اردکان</t>
  </si>
  <si>
    <t>طبس</t>
  </si>
  <si>
    <t>عشق‌آباد</t>
  </si>
  <si>
    <t>حمیدیا</t>
  </si>
  <si>
    <t>تفت</t>
  </si>
  <si>
    <t>مروست</t>
  </si>
  <si>
    <t>اشکذر</t>
  </si>
  <si>
    <t>ابرکوه</t>
  </si>
  <si>
    <t>ندوشن</t>
  </si>
  <si>
    <t>میبد</t>
  </si>
  <si>
    <t>دیهوک</t>
  </si>
  <si>
    <t>شاهدیه</t>
  </si>
  <si>
    <t>عقدا</t>
  </si>
  <si>
    <t>مهریز</t>
  </si>
  <si>
    <t>مهردشت</t>
  </si>
  <si>
    <t>هرات</t>
  </si>
  <si>
    <t>بافق</t>
  </si>
  <si>
    <t>به‌آباد</t>
  </si>
  <si>
    <t>زارچ</t>
  </si>
  <si>
    <t>خضرآباد</t>
  </si>
  <si>
    <t>احمدآباد</t>
  </si>
  <si>
    <t>یزد</t>
  </si>
  <si>
    <t>استان کرمانشاه</t>
  </si>
  <si>
    <t>بیستون</t>
  </si>
  <si>
    <t>پره سر</t>
  </si>
  <si>
    <t>استان مرکزی</t>
  </si>
  <si>
    <t>خمین</t>
  </si>
  <si>
    <t>بستان‌آباد</t>
  </si>
  <si>
    <t>لالی</t>
  </si>
  <si>
    <t>استان آذربایجان غربی</t>
  </si>
  <si>
    <t>کشاورز</t>
  </si>
  <si>
    <t>مراغه</t>
  </si>
  <si>
    <t>کمیجان</t>
  </si>
  <si>
    <t>بازارجمعه</t>
  </si>
  <si>
    <t>نالوس</t>
  </si>
  <si>
    <t>منجیل</t>
  </si>
  <si>
    <t>خنداب</t>
  </si>
  <si>
    <t>شازند</t>
  </si>
  <si>
    <t>کله بست</t>
  </si>
  <si>
    <t>نظرکهریزی</t>
  </si>
  <si>
    <t>بهبهان</t>
  </si>
  <si>
    <t>جلفا</t>
  </si>
  <si>
    <t>آشتیان</t>
  </si>
  <si>
    <t>صوفیان</t>
  </si>
  <si>
    <t>املش</t>
  </si>
  <si>
    <t>بناب جدید</t>
  </si>
  <si>
    <t>کرمانشاه</t>
  </si>
  <si>
    <t>هرسین</t>
  </si>
  <si>
    <t>کلیبر</t>
  </si>
  <si>
    <t>روانسر</t>
  </si>
  <si>
    <t>رباط سنگ</t>
  </si>
  <si>
    <t>شفت</t>
  </si>
  <si>
    <t>بهنمیر</t>
  </si>
  <si>
    <t>کیاسر</t>
  </si>
  <si>
    <t>محلات</t>
  </si>
  <si>
    <t>رستم‌آباد</t>
  </si>
  <si>
    <t>لوندویل</t>
  </si>
  <si>
    <t>تجریش</t>
  </si>
  <si>
    <t>مهاجران</t>
  </si>
  <si>
    <t>ورزقان</t>
  </si>
  <si>
    <t>زرنق</t>
  </si>
  <si>
    <t>دهدز</t>
  </si>
  <si>
    <t>هریس</t>
  </si>
  <si>
    <t>سرپل ذهاب</t>
  </si>
  <si>
    <t>بندر لنگه</t>
  </si>
  <si>
    <t>بندر گز</t>
  </si>
  <si>
    <t>دوزدوزان</t>
  </si>
  <si>
    <t>ماسال</t>
  </si>
  <si>
    <t>پرندک</t>
  </si>
  <si>
    <t>امیرکلا</t>
  </si>
  <si>
    <t>گنبد کاووس</t>
  </si>
  <si>
    <t>زیراب</t>
  </si>
  <si>
    <t>ایواوغلی</t>
  </si>
  <si>
    <t>کوزران</t>
  </si>
  <si>
    <t>ایزدشهر</t>
  </si>
  <si>
    <t>زهره</t>
  </si>
  <si>
    <t>ریحان</t>
  </si>
  <si>
    <t>هادیشهر</t>
  </si>
  <si>
    <t>گلوگاه</t>
  </si>
  <si>
    <t>رحیم‌آباد</t>
  </si>
  <si>
    <t>سیه چشمه</t>
  </si>
  <si>
    <t>قائم‌شهر</t>
  </si>
  <si>
    <t>میانرود</t>
  </si>
  <si>
    <t>نکا</t>
  </si>
  <si>
    <t>ترکمانچای</t>
  </si>
  <si>
    <t>چابکسر</t>
  </si>
  <si>
    <t>سراب</t>
  </si>
  <si>
    <t>اقکند</t>
  </si>
  <si>
    <t>ماکو</t>
  </si>
  <si>
    <t>نور</t>
  </si>
  <si>
    <t>حمیل</t>
  </si>
  <si>
    <t>باسمنج</t>
  </si>
  <si>
    <t>امیدیه</t>
  </si>
  <si>
    <t>کلاچای</t>
  </si>
  <si>
    <t>سردشت</t>
  </si>
  <si>
    <t>بندر چارک</t>
  </si>
  <si>
    <t>بندر کنگان</t>
  </si>
  <si>
    <t>آذرشهر</t>
  </si>
  <si>
    <t>صحنه</t>
  </si>
  <si>
    <t>توتکابن</t>
  </si>
  <si>
    <t>مینوشهر</t>
  </si>
  <si>
    <t>سطر</t>
  </si>
  <si>
    <t>ضیاءآباد</t>
  </si>
  <si>
    <t>خسروشهر</t>
  </si>
  <si>
    <t>سیاهکل</t>
  </si>
  <si>
    <t>نقده</t>
  </si>
  <si>
    <t>فریدونکنار</t>
  </si>
  <si>
    <t>خوش رودپی</t>
  </si>
  <si>
    <t>بندر ترکمن</t>
  </si>
  <si>
    <t>تنکابن</t>
  </si>
  <si>
    <t>عجب شیر</t>
  </si>
  <si>
    <t>باغملک</t>
  </si>
  <si>
    <t>شبستر</t>
  </si>
  <si>
    <t>ماسوله</t>
  </si>
  <si>
    <t>مرزیکلا</t>
  </si>
  <si>
    <t>غرق‌آباد</t>
  </si>
  <si>
    <t>ملاثانی</t>
  </si>
  <si>
    <t>چمستان</t>
  </si>
  <si>
    <t>باینگان</t>
  </si>
  <si>
    <t>ویس</t>
  </si>
  <si>
    <t>قلعه خواجه</t>
  </si>
  <si>
    <t>خامنه</t>
  </si>
  <si>
    <t>شرفخانه</t>
  </si>
  <si>
    <t>بره سر</t>
  </si>
  <si>
    <t>هیدوج</t>
  </si>
  <si>
    <t>جوانرود</t>
  </si>
  <si>
    <t>کلارآباد</t>
  </si>
  <si>
    <t>لشت نشا</t>
  </si>
  <si>
    <t>چابهار</t>
  </si>
  <si>
    <t>اهواز</t>
  </si>
  <si>
    <t>بخشایش</t>
  </si>
  <si>
    <t>مسجد سلیمان</t>
  </si>
  <si>
    <t>مقاومت</t>
  </si>
  <si>
    <t>نشتارود</t>
  </si>
  <si>
    <t>قوشچی</t>
  </si>
  <si>
    <t>ترک</t>
  </si>
  <si>
    <t>دزاب</t>
  </si>
  <si>
    <t>سیه رود</t>
  </si>
  <si>
    <t>گوراب زرمیخ</t>
  </si>
  <si>
    <t>آن‌ابد</t>
  </si>
  <si>
    <t>سرمست</t>
  </si>
  <si>
    <t>نیمور</t>
  </si>
  <si>
    <t>کرندغرب</t>
  </si>
  <si>
    <t>کیاکلا</t>
  </si>
  <si>
    <t>رامسر</t>
  </si>
  <si>
    <t>صومعه سرا</t>
  </si>
  <si>
    <t>دزفول</t>
  </si>
  <si>
    <t>خواجه</t>
  </si>
  <si>
    <t>کنگاور</t>
  </si>
  <si>
    <t>هشتپر</t>
  </si>
  <si>
    <t>بندر دیلم</t>
  </si>
  <si>
    <t>لیلان</t>
  </si>
  <si>
    <t>مؤمن‌آباد</t>
  </si>
  <si>
    <t>قروه در جزین</t>
  </si>
  <si>
    <t>ساوه</t>
  </si>
  <si>
    <t>کره‌ای</t>
  </si>
  <si>
    <t>بوکان</t>
  </si>
  <si>
    <t>زاویه</t>
  </si>
  <si>
    <t>شربیان</t>
  </si>
  <si>
    <t>قلعه تل</t>
  </si>
  <si>
    <t>کوهی خیل</t>
  </si>
  <si>
    <t>سرو</t>
  </si>
  <si>
    <t>میرآباد</t>
  </si>
  <si>
    <t>گتاب</t>
  </si>
  <si>
    <t>مرند</t>
  </si>
  <si>
    <t>بایگ</t>
  </si>
  <si>
    <t>میانه</t>
  </si>
  <si>
    <t>آستانه</t>
  </si>
  <si>
    <t>شادگان</t>
  </si>
  <si>
    <t>هلشی</t>
  </si>
  <si>
    <t>اشنویه</t>
  </si>
  <si>
    <t>رباط کریم</t>
  </si>
  <si>
    <t>شلمان</t>
  </si>
  <si>
    <t>آغاجاری</t>
  </si>
  <si>
    <t>آستانه اشرفیه</t>
  </si>
  <si>
    <t>تفرش</t>
  </si>
  <si>
    <t>شیبان</t>
  </si>
  <si>
    <t>میلاجرد</t>
  </si>
  <si>
    <t>حر</t>
  </si>
  <si>
    <t>باروق</t>
  </si>
  <si>
    <t>نودشه</t>
  </si>
  <si>
    <t>سنگر</t>
  </si>
  <si>
    <t>حمیدیه</t>
  </si>
  <si>
    <t>لوشان</t>
  </si>
  <si>
    <t>جویبار</t>
  </si>
  <si>
    <t>فریم</t>
  </si>
  <si>
    <t>مرزن‌آباد</t>
  </si>
  <si>
    <t>بندرانزلی</t>
  </si>
  <si>
    <t>رامشیر</t>
  </si>
  <si>
    <t>سورک</t>
  </si>
  <si>
    <t>گردکشانه</t>
  </si>
  <si>
    <t>نوبران</t>
  </si>
  <si>
    <t>رامهرمز</t>
  </si>
  <si>
    <t>چمران</t>
  </si>
  <si>
    <t>صیدون</t>
  </si>
  <si>
    <t>سیمینه</t>
  </si>
  <si>
    <t>زرگر محله</t>
  </si>
  <si>
    <t>چوبر</t>
  </si>
  <si>
    <t>حویق</t>
  </si>
  <si>
    <t>کیاشهر</t>
  </si>
  <si>
    <t>نراق</t>
  </si>
  <si>
    <t>خراجو</t>
  </si>
  <si>
    <t>میان راهان</t>
  </si>
  <si>
    <t>اسکو</t>
  </si>
  <si>
    <t>فرادنبه</t>
  </si>
  <si>
    <t>قره‌آغاج</t>
  </si>
  <si>
    <t>سومار</t>
  </si>
  <si>
    <t>ایلخچی</t>
  </si>
  <si>
    <t>کشکسرای</t>
  </si>
  <si>
    <t>سلماس</t>
  </si>
  <si>
    <t>رستمکلا</t>
  </si>
  <si>
    <t>خمارلو</t>
  </si>
  <si>
    <t>مجلسی</t>
  </si>
  <si>
    <t>نوسود</t>
  </si>
  <si>
    <t>سلمان شهر</t>
  </si>
  <si>
    <t>پل سفید</t>
  </si>
  <si>
    <t>آبش احمد</t>
  </si>
  <si>
    <t>ملکان</t>
  </si>
  <si>
    <t>بندر ریگ</t>
  </si>
  <si>
    <t>هوراند</t>
  </si>
  <si>
    <t>نوشهر</t>
  </si>
  <si>
    <t>کلوانق</t>
  </si>
  <si>
    <t>گیلانغرب</t>
  </si>
  <si>
    <t>دلیجان</t>
  </si>
  <si>
    <t>گزنک</t>
  </si>
  <si>
    <t>اروندکنار</t>
  </si>
  <si>
    <t>فومن</t>
  </si>
  <si>
    <t>محمودآباد</t>
  </si>
  <si>
    <t>میاندواب</t>
  </si>
  <si>
    <t>پیرانشهر</t>
  </si>
  <si>
    <t>جیرنده</t>
  </si>
  <si>
    <t>کوزه کنان</t>
  </si>
  <si>
    <t>احمد سرگوراب</t>
  </si>
  <si>
    <t>گهواره</t>
  </si>
  <si>
    <t>تکاب</t>
  </si>
  <si>
    <t>امل</t>
  </si>
  <si>
    <t>شاهین‌دژ</t>
  </si>
  <si>
    <t>فرمهین</t>
  </si>
  <si>
    <t>خوی</t>
  </si>
  <si>
    <t>سردرود</t>
  </si>
  <si>
    <t>بابلسر</t>
  </si>
  <si>
    <t>سیس</t>
  </si>
  <si>
    <t>بندر ماهشهر</t>
  </si>
  <si>
    <t>شوط</t>
  </si>
  <si>
    <t>بستان</t>
  </si>
  <si>
    <t>وایقان</t>
  </si>
  <si>
    <t>اهر</t>
  </si>
  <si>
    <t>اراک</t>
  </si>
  <si>
    <t>بازرگان</t>
  </si>
  <si>
    <t>رانکوه</t>
  </si>
  <si>
    <t>قورچی باشی</t>
  </si>
  <si>
    <t>خلیل شهر</t>
  </si>
  <si>
    <t>ازگله</t>
  </si>
  <si>
    <t>زنوز</t>
  </si>
  <si>
    <t>رودسر</t>
  </si>
  <si>
    <t>هفتگل</t>
  </si>
  <si>
    <t>مهربان</t>
  </si>
  <si>
    <t>تیکمه داش</t>
  </si>
  <si>
    <t>بابل</t>
  </si>
  <si>
    <t>سیلوانه</t>
  </si>
  <si>
    <t>گتوند</t>
  </si>
  <si>
    <t>ربط</t>
  </si>
  <si>
    <t>عباس‌آباد</t>
  </si>
  <si>
    <t>شوشتر</t>
  </si>
  <si>
    <t>واجارگاه</t>
  </si>
  <si>
    <t>بهشهر</t>
  </si>
  <si>
    <t>پلدشت</t>
  </si>
  <si>
    <t>هویزه</t>
  </si>
  <si>
    <t>ایذه</t>
  </si>
  <si>
    <t>فیرورق</t>
  </si>
  <si>
    <t>کتالم وسادات شهر</t>
  </si>
  <si>
    <t>اطاقور</t>
  </si>
  <si>
    <t>لنگرود</t>
  </si>
  <si>
    <t>سالند</t>
  </si>
  <si>
    <t>تسوج</t>
  </si>
  <si>
    <t>محمدیار</t>
  </si>
  <si>
    <t>شندآباد</t>
  </si>
  <si>
    <t>هندودر</t>
  </si>
  <si>
    <t>تازه‌آباد</t>
  </si>
  <si>
    <t>مراوه تپه</t>
  </si>
  <si>
    <t>رباط</t>
  </si>
  <si>
    <t>اواجیق</t>
  </si>
  <si>
    <t>قره ضیاءالدین</t>
  </si>
  <si>
    <t>آلاشت</t>
  </si>
  <si>
    <t>کارزین</t>
  </si>
  <si>
    <t>هندیجان</t>
  </si>
  <si>
    <t>گوگان</t>
  </si>
  <si>
    <t>ابپخش</t>
  </si>
  <si>
    <t>بندر جاسک</t>
  </si>
  <si>
    <t>رفیع</t>
  </si>
  <si>
    <t>سوسنگرد</t>
  </si>
  <si>
    <t>داودآباد</t>
  </si>
  <si>
    <t>اسلام‌آباد غرب</t>
  </si>
  <si>
    <t>سنجان</t>
  </si>
  <si>
    <t>شیرگاه</t>
  </si>
  <si>
    <t>مامونیه</t>
  </si>
  <si>
    <t>اسالم</t>
  </si>
  <si>
    <t>آستارا</t>
  </si>
  <si>
    <t>رینه</t>
  </si>
  <si>
    <t>کوچصفهان</t>
  </si>
  <si>
    <t>ارومیه</t>
  </si>
  <si>
    <t>توره</t>
  </si>
  <si>
    <t>سنقر</t>
  </si>
  <si>
    <t>ممقان</t>
  </si>
  <si>
    <t>جایزان</t>
  </si>
  <si>
    <t>رویان</t>
  </si>
  <si>
    <t>پرند</t>
  </si>
  <si>
    <t>بناب</t>
  </si>
  <si>
    <t>کلاردشت</t>
  </si>
  <si>
    <t>چالوس</t>
  </si>
  <si>
    <t>الوان</t>
  </si>
  <si>
    <t>نوشین</t>
  </si>
  <si>
    <t>یامچی</t>
  </si>
  <si>
    <t>مرجقل</t>
  </si>
  <si>
    <t>چهاربرج</t>
  </si>
  <si>
    <t>کرهرود</t>
  </si>
  <si>
    <t>دابودشت</t>
  </si>
  <si>
    <t>پاوه</t>
  </si>
  <si>
    <t>حسینیه</t>
  </si>
  <si>
    <t>بندر دیر</t>
  </si>
  <si>
    <t>بلده</t>
  </si>
  <si>
    <t>خشکبیجار</t>
  </si>
  <si>
    <t>خاروانا</t>
  </si>
  <si>
    <t>رازقان</t>
  </si>
  <si>
    <t>رودبنه</t>
  </si>
  <si>
    <t>تازه شهر</t>
  </si>
  <si>
    <t>اندیمشک</t>
  </si>
  <si>
    <t>هشترود</t>
  </si>
  <si>
    <t>قصرشیرین</t>
  </si>
  <si>
    <t>خمام</t>
  </si>
  <si>
    <t>لیسار</t>
  </si>
  <si>
    <t>سرخرود</t>
  </si>
  <si>
    <t>دیلمان</t>
  </si>
  <si>
    <t>کومله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</si>
  <si>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</si>
  <si>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</si>
  <si>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</si>
  <si>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</si>
  <si>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</si>
  <si>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</si>
  <si>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</si>
  <si>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</si>
  <si>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</si>
  <si>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</si>
  <si>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</si>
  <si>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</si>
  <si>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</si>
  <si>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</si>
  <si>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</si>
  <si>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</si>
  <si>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</si>
  <si>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</si>
  <si>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</si>
  <si>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</si>
  <si>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</si>
  <si>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</si>
  <si>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</si>
  <si>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</si>
  <si>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</si>
  <si>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</si>
  <si>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</si>
  <si>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</si>
  <si>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</si>
  <si>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</si>
  <si>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</si>
  <si>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</si>
  <si>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</si>
  <si>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</si>
  <si>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</si>
  <si>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</si>
  <si>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</si>
  <si>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</si>
  <si>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</si>
  <si>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</si>
  <si>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</si>
  <si>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</si>
  <si>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</si>
  <si>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</si>
  <si>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</si>
  <si>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</si>
  <si>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</si>
  <si>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</si>
  <si>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</si>
  <si>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</si>
  <si>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</si>
  <si>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</si>
  <si>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</si>
  <si>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</si>
  <si>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</si>
  <si>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</si>
  <si>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</si>
  <si>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</si>
  <si>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</si>
  <si>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</si>
  <si>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</si>
  <si>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</si>
  <si>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</si>
  <si>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</si>
  <si>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</si>
  <si>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</si>
  <si>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</si>
  <si>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</si>
  <si>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/>
  </si>
  <si>
    <t>e</t>
  </si>
  <si>
    <t>نرخ مالیات انتشار کربن در پله e</t>
  </si>
  <si>
    <t>WH</t>
  </si>
  <si>
    <t>FF</t>
  </si>
  <si>
    <t>DA</t>
  </si>
  <si>
    <t>RF</t>
  </si>
  <si>
    <t>TR1</t>
  </si>
  <si>
    <t>TR2</t>
  </si>
  <si>
    <t>TR3</t>
  </si>
  <si>
    <t>X</t>
  </si>
  <si>
    <t>XM</t>
  </si>
  <si>
    <t>NTC</t>
  </si>
  <si>
    <t>ENCT</t>
  </si>
  <si>
    <t>ENC</t>
  </si>
  <si>
    <t>TFC</t>
  </si>
  <si>
    <t>TOC</t>
  </si>
  <si>
    <t>TTC</t>
  </si>
  <si>
    <t>TPC</t>
  </si>
  <si>
    <t>BEN</t>
  </si>
  <si>
    <t>TEN</t>
  </si>
  <si>
    <t>PEN</t>
  </si>
  <si>
    <t>EN</t>
  </si>
  <si>
    <t>FC</t>
  </si>
  <si>
    <t>P</t>
  </si>
  <si>
    <t>At</t>
  </si>
  <si>
    <t>W</t>
  </si>
  <si>
    <t>i0</t>
  </si>
  <si>
    <t>h0</t>
  </si>
  <si>
    <t>t0</t>
  </si>
  <si>
    <t>t1</t>
  </si>
  <si>
    <t>t2</t>
  </si>
  <si>
    <t>f0</t>
  </si>
  <si>
    <t>o0</t>
  </si>
  <si>
    <t>f1</t>
  </si>
  <si>
    <t>q0</t>
  </si>
  <si>
    <t>d0</t>
  </si>
  <si>
    <t>n0</t>
  </si>
  <si>
    <t>m0</t>
  </si>
  <si>
    <t>k0</t>
  </si>
  <si>
    <t>z0</t>
  </si>
  <si>
    <t>j0</t>
  </si>
  <si>
    <t>s0</t>
  </si>
  <si>
    <t>e0</t>
  </si>
  <si>
    <t>e1</t>
  </si>
  <si>
    <t>e2</t>
  </si>
  <si>
    <t>e3</t>
  </si>
  <si>
    <t>CO</t>
  </si>
  <si>
    <t>Sh</t>
  </si>
  <si>
    <t>Sm</t>
  </si>
  <si>
    <t>Sl</t>
  </si>
  <si>
    <t>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</si>
</sst>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3000401]0"/>
    <numFmt numFmtId="165" formatCode="[$-3000401]0.######"/>
    <numFmt numFmtId="166" formatCode="[$-3000401]0.#####"/>
    <numFmt numFmtId="167" formatCode="[$-3000401]0.####"/>
    <numFmt numFmtId="168" formatCode="[$-3000401]0.###"/>
    <numFmt numFmtId="169" formatCode="[$-3000401]0.##"/>
    <numFmt numFmtId="170" formatCode="[$-3000401]0.#"/>
    <numFmt numFmtId="171" formatCode="0E+00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B Nazanin"/>
      <charset val="178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Border="1"/>
    <xf numFmtId="0" fontId="0" fillId="0" borderId="8" xfId="0" applyBorder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8" xfId="0" applyNumberFormat="1" applyBorder="1" applyAlignment="1">
      <alignment horizontal="center"/>
    </xf>
    <xf numFmtId="171" fontId="0" fillId="0" borderId="8" xfId="0" applyNumberFormat="1" applyBorder="1"/>
    <xf numFmtId="0" fontId="0" fillId="0" borderId="0" xfId="0" applyFill="1" applyBorder="1"/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"/>
  <sheetViews>
    <sheetView topLeftCell="A3" zoomScale="140" workbookViewId="0">
      <selection activeCell="D9" sqref="D9"/>
    </sheetView>
  </sheetViews>
  <sheetFormatPr defaultRowHeight="14.4" x14ac:dyDescent="0.3"/>
  <cols>
    <col min="1" max="1" width="25.6640625" bestFit="1" customWidth="1" collapsed="1"/>
    <col min="2" max="2" width="8.77734375" style="1" customWidth="1" collapsed="1"/>
    <col min="5" max="5" width="59.6640625" bestFit="1" customWidth="1" collapsed="1"/>
  </cols>
  <sheetData>
    <row r="1" spans="1:6" x14ac:dyDescent="0.3">
      <c r="A1" t="s">
        <v>36</v>
      </c>
      <c r="B1" s="1" t="s">
        <v>37</v>
      </c>
      <c r="C1" t="s">
        <v>38</v>
      </c>
      <c r="E1" t="s">
        <v>1138</v>
      </c>
      <c r="F1" t="s">
        <v>1139</v>
      </c>
    </row>
    <row r="2" spans="1:6" x14ac:dyDescent="0.3">
      <c r="A2" t="s">
        <v>21</v>
      </c>
      <c r="B2" s="1" t="s">
        <v>0</v>
      </c>
      <c r="C2" s="36">
        <v>1</v>
      </c>
      <c r="E2" t="s">
        <v>1140</v>
      </c>
      <c r="F2" t="s">
        <v>1141</v>
      </c>
    </row>
    <row r="3" spans="1:6" x14ac:dyDescent="0.3">
      <c r="A3" t="s">
        <v>22</v>
      </c>
      <c r="B3" s="1" t="s">
        <v>1</v>
      </c>
      <c r="C3" s="36">
        <v>2</v>
      </c>
      <c r="E3" t="s">
        <v>1142</v>
      </c>
      <c r="F3" t="s">
        <v>1143</v>
      </c>
    </row>
    <row r="4" spans="1:6" x14ac:dyDescent="0.3">
      <c r="A4" t="s">
        <v>23</v>
      </c>
      <c r="B4" s="1" t="s">
        <v>7</v>
      </c>
      <c r="C4" s="36">
        <v>1</v>
      </c>
      <c r="E4" t="s">
        <v>1144</v>
      </c>
      <c r="F4" t="s">
        <v>1145</v>
      </c>
    </row>
    <row r="5" spans="1:6" x14ac:dyDescent="0.3">
      <c r="A5" t="s">
        <v>2</v>
      </c>
      <c r="B5" s="1" t="s">
        <v>8</v>
      </c>
      <c r="C5" s="36">
        <v>1</v>
      </c>
      <c r="E5" t="s">
        <v>1146</v>
      </c>
      <c r="F5" t="s">
        <v>1147</v>
      </c>
    </row>
    <row r="6" spans="1:6" x14ac:dyDescent="0.3">
      <c r="A6" t="s">
        <v>24</v>
      </c>
      <c r="B6" s="1" t="s">
        <v>9</v>
      </c>
      <c r="C6" s="36">
        <v>1</v>
      </c>
      <c r="E6" t="s">
        <v>1148</v>
      </c>
      <c r="F6" t="s">
        <v>1149</v>
      </c>
    </row>
    <row r="7" spans="1:6" x14ac:dyDescent="0.3">
      <c r="A7" t="s">
        <v>3</v>
      </c>
      <c r="B7" s="1" t="s">
        <v>10</v>
      </c>
      <c r="C7" s="36">
        <v>1</v>
      </c>
      <c r="E7" t="s">
        <v>1150</v>
      </c>
      <c r="F7" t="s">
        <v>1151</v>
      </c>
    </row>
    <row r="8" spans="1:6" x14ac:dyDescent="0.3">
      <c r="A8" t="s">
        <v>25</v>
      </c>
      <c r="B8" s="1" t="s">
        <v>11</v>
      </c>
      <c r="C8" s="36">
        <v>1</v>
      </c>
      <c r="E8" t="s">
        <v>1152</v>
      </c>
      <c r="F8" t="s">
        <v>1153</v>
      </c>
    </row>
    <row r="9" spans="1:6" x14ac:dyDescent="0.3">
      <c r="A9" t="s">
        <v>4</v>
      </c>
      <c r="B9" s="1" t="s">
        <v>12</v>
      </c>
      <c r="C9" s="36">
        <v>1</v>
      </c>
      <c r="E9" t="s">
        <v>1154</v>
      </c>
      <c r="F9" t="s">
        <v>1155</v>
      </c>
    </row>
    <row r="10" spans="1:6" x14ac:dyDescent="0.3">
      <c r="A10" t="s">
        <v>26</v>
      </c>
      <c r="B10" s="1" t="s">
        <v>13</v>
      </c>
      <c r="C10" s="36">
        <v>1</v>
      </c>
      <c r="E10" t="s">
        <v>1156</v>
      </c>
      <c r="F10" t="s">
        <v>1157</v>
      </c>
    </row>
    <row r="11" spans="1:6" x14ac:dyDescent="0.3">
      <c r="A11" t="s">
        <v>27</v>
      </c>
      <c r="B11" s="1" t="s">
        <v>15</v>
      </c>
      <c r="C11" s="36">
        <v>1</v>
      </c>
      <c r="E11" t="s">
        <v>1158</v>
      </c>
      <c r="F11" t="s">
        <v>1159</v>
      </c>
    </row>
    <row r="12" spans="1:6" x14ac:dyDescent="0.3">
      <c r="A12" t="s">
        <v>28</v>
      </c>
      <c r="B12" s="1" t="s">
        <v>16</v>
      </c>
      <c r="C12" s="36">
        <v>1</v>
      </c>
      <c r="E12" t="s">
        <v>1160</v>
      </c>
      <c r="F12" t="s">
        <v>1161</v>
      </c>
    </row>
    <row r="13" spans="1:6" x14ac:dyDescent="0.3">
      <c r="A13" t="s">
        <v>29</v>
      </c>
      <c r="B13" s="1" t="s">
        <v>17</v>
      </c>
      <c r="C13" s="36">
        <v>1</v>
      </c>
      <c r="E13" t="s">
        <v>1162</v>
      </c>
      <c r="F13" t="s">
        <v>1163</v>
      </c>
    </row>
    <row r="14" spans="1:6" x14ac:dyDescent="0.3">
      <c r="A14" t="s">
        <v>30</v>
      </c>
      <c r="B14" s="1" t="s">
        <v>18</v>
      </c>
      <c r="C14" s="36">
        <v>1</v>
      </c>
      <c r="E14" t="s">
        <v>1164</v>
      </c>
      <c r="F14" t="s">
        <v>1165</v>
      </c>
    </row>
    <row r="15" spans="1:6" x14ac:dyDescent="0.3">
      <c r="A15" t="s">
        <v>31</v>
      </c>
      <c r="B15" s="1" t="s">
        <v>19</v>
      </c>
      <c r="C15" s="36">
        <v>1</v>
      </c>
      <c r="E15" t="s">
        <v>1166</v>
      </c>
      <c r="F15" t="s">
        <v>1167</v>
      </c>
    </row>
    <row r="16" spans="1:6" x14ac:dyDescent="0.3">
      <c r="A16" t="s">
        <v>32</v>
      </c>
      <c r="B16" s="1" t="s">
        <v>20</v>
      </c>
      <c r="C16" s="36">
        <v>1</v>
      </c>
      <c r="E16" t="s">
        <v>1168</v>
      </c>
      <c r="F16" t="s">
        <v>1169</v>
      </c>
    </row>
    <row r="17" spans="1:6" x14ac:dyDescent="0.3">
      <c r="A17" t="s">
        <v>33</v>
      </c>
      <c r="B17" s="1" t="s">
        <v>5</v>
      </c>
      <c r="C17" s="36">
        <v>3</v>
      </c>
      <c r="E17" t="s">
        <v>1170</v>
      </c>
      <c r="F17" t="s">
        <v>1171</v>
      </c>
    </row>
    <row r="18" spans="1:6" x14ac:dyDescent="0.3">
      <c r="A18" t="s">
        <v>34</v>
      </c>
      <c r="B18" s="1" t="s">
        <v>14</v>
      </c>
      <c r="C18" s="36">
        <v>1</v>
      </c>
      <c r="E18" t="s">
        <v>1128</v>
      </c>
    </row>
    <row r="19" spans="1:6" x14ac:dyDescent="0.3">
      <c r="A19" t="s">
        <v>35</v>
      </c>
      <c r="B19" s="1" t="s">
        <v>6</v>
      </c>
      <c r="C19" s="36">
        <v>1</v>
      </c>
      <c r="E19" t="s">
        <v>1129</v>
      </c>
    </row>
    <row r="20" spans="1:6" x14ac:dyDescent="0.3">
      <c r="A20" t="s">
        <v>89</v>
      </c>
      <c r="B20" s="1" t="s">
        <v>1197</v>
      </c>
      <c r="C20" s="36">
        <v>4</v>
      </c>
      <c r="E20" t="s">
        <v>1130</v>
      </c>
    </row>
    <row r="21" spans="1:6" x14ac:dyDescent="0.3">
      <c r="E21" t="s">
        <v>1172</v>
      </c>
      <c r="F21" t="s">
        <v>1173</v>
      </c>
    </row>
    <row r="22" spans="1:6" x14ac:dyDescent="0.3">
      <c r="E22" t="s">
        <v>1174</v>
      </c>
      <c r="F22" t="s">
        <v>1175</v>
      </c>
    </row>
    <row r="23" spans="1:6" x14ac:dyDescent="0.3">
      <c r="E23" t="s">
        <v>1176</v>
      </c>
      <c r="F23" t="s">
        <v>1177</v>
      </c>
    </row>
    <row r="24" spans="1:6" x14ac:dyDescent="0.3">
      <c r="E24" t="s">
        <v>1178</v>
      </c>
      <c r="F24" t="s">
        <v>1179</v>
      </c>
    </row>
    <row r="25" spans="1:6" x14ac:dyDescent="0.3">
      <c r="E25" t="s">
        <v>1180</v>
      </c>
      <c r="F25" t="s">
        <v>1181</v>
      </c>
    </row>
    <row r="26" spans="1:6" x14ac:dyDescent="0.3">
      <c r="E26" t="s">
        <v>1182</v>
      </c>
      <c r="F26" t="s">
        <v>1183</v>
      </c>
    </row>
    <row r="27" spans="1:6" x14ac:dyDescent="0.3">
      <c r="E27" t="s">
        <v>1184</v>
      </c>
      <c r="F27" t="s">
        <v>1185</v>
      </c>
    </row>
    <row r="28" spans="1:6" x14ac:dyDescent="0.3">
      <c r="E28" t="s">
        <v>1186</v>
      </c>
      <c r="F28" t="s">
        <v>1187</v>
      </c>
    </row>
    <row r="29" spans="1:6" x14ac:dyDescent="0.3">
      <c r="E29" t="s">
        <v>1188</v>
      </c>
      <c r="F29" t="s">
        <v>1189</v>
      </c>
    </row>
    <row r="30" spans="1:6" x14ac:dyDescent="0.3">
      <c r="E30" t="s">
        <v>1190</v>
      </c>
      <c r="F30" t="s">
        <v>1191</v>
      </c>
    </row>
    <row r="31" spans="1:6" x14ac:dyDescent="0.3">
      <c r="E31" t="s">
        <v>1131</v>
      </c>
      <c r="F31" t="s">
        <v>1192</v>
      </c>
    </row>
    <row r="32" spans="1:6" x14ac:dyDescent="0.3">
      <c r="E32" t="s">
        <v>1132</v>
      </c>
      <c r="F32" t="s">
        <v>68</v>
      </c>
    </row>
    <row r="33" spans="5:6" x14ac:dyDescent="0.3">
      <c r="E33" t="s">
        <v>1193</v>
      </c>
    </row>
    <row r="34" spans="5:6" x14ac:dyDescent="0.3">
      <c r="E34" t="s">
        <v>1194</v>
      </c>
    </row>
    <row r="35" spans="5:6" x14ac:dyDescent="0.3">
      <c r="E35" t="s">
        <v>1133</v>
      </c>
    </row>
    <row r="36" spans="5:6" x14ac:dyDescent="0.3">
      <c r="E36" t="s">
        <v>1134</v>
      </c>
    </row>
    <row r="37" spans="5:6" x14ac:dyDescent="0.3">
      <c r="E37" t="s">
        <v>1195</v>
      </c>
    </row>
    <row r="38" spans="5:6" x14ac:dyDescent="0.3">
      <c r="E38" t="s">
        <v>1135</v>
      </c>
      <c r="F38" t="s">
        <v>1136</v>
      </c>
    </row>
    <row r="39" spans="5:6" x14ac:dyDescent="0.3">
      <c r="E39" t="s">
        <v>1198</v>
      </c>
    </row>
    <row r="40" spans="5:6" x14ac:dyDescent="0.3">
      <c r="E40" t="s">
        <v>1137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X1048576"/>
  <sheetViews>
    <sheetView tabSelected="1" topLeftCell="DJ1" zoomScale="130" zoomScaleNormal="130" workbookViewId="0">
      <selection activeCell="DR4" sqref="DR4"/>
    </sheetView>
  </sheetViews>
  <sheetFormatPr defaultRowHeight="14.4" x14ac:dyDescent="0.3"/>
  <cols>
    <col min="1" max="1" width="3.109375" style="13" bestFit="1" customWidth="1" collapsed="1"/>
    <col min="2" max="3" width="2" style="19" bestFit="1" customWidth="1" collapsed="1"/>
    <col min="4" max="4" width="2.109375" style="19" bestFit="1" customWidth="1" collapsed="1"/>
    <col min="5" max="5" width="5.21875" style="14" bestFit="1" customWidth="1" collapsed="1"/>
    <col min="6" max="6" width="3.6640625" style="13" bestFit="1" customWidth="1" collapsed="1"/>
    <col min="7" max="7" width="2" style="19" bestFit="1" customWidth="1" collapsed="1"/>
    <col min="8" max="8" width="2" bestFit="1" customWidth="1" collapsed="1"/>
    <col min="9" max="9" width="5.21875" style="14" bestFit="1" customWidth="1" collapsed="1"/>
    <col min="10" max="10" width="3.21875" style="13" bestFit="1" customWidth="1" collapsed="1"/>
    <col min="11" max="11" width="2" style="19" bestFit="1" customWidth="1" collapsed="1"/>
    <col min="12" max="12" width="2" bestFit="1" customWidth="1" collapsed="1"/>
    <col min="13" max="13" width="5.21875" style="14" bestFit="1" customWidth="1" collapsed="1"/>
    <col min="14" max="14" width="3" style="13" bestFit="1" customWidth="1" collapsed="1"/>
    <col min="15" max="15" width="2" style="19" bestFit="1" customWidth="1" collapsed="1"/>
    <col min="16" max="16" width="2" bestFit="1" customWidth="1" collapsed="1"/>
    <col min="17" max="17" width="5.21875" style="11" bestFit="1" customWidth="1" collapsed="1"/>
    <col min="18" max="18" width="3.5546875" style="13" bestFit="1" customWidth="1" collapsed="1"/>
    <col min="19" max="19" width="2" style="19" bestFit="1" customWidth="1" collapsed="1"/>
    <col min="20" max="20" width="2" style="14" bestFit="1" customWidth="1" collapsed="1"/>
    <col min="21" max="21" width="5.21875" style="15" bestFit="1" customWidth="1" collapsed="1"/>
    <col min="22" max="22" width="3.33203125" style="13" bestFit="1" customWidth="1" collapsed="1"/>
    <col min="23" max="23" width="2" style="19" bestFit="1" customWidth="1" collapsed="1"/>
    <col min="24" max="24" width="2" bestFit="1" customWidth="1" collapsed="1"/>
    <col min="25" max="25" width="5.21875" style="14" bestFit="1" customWidth="1" collapsed="1"/>
    <col min="26" max="26" width="3.21875" style="13" bestFit="1" customWidth="1" collapsed="1"/>
    <col min="27" max="27" width="2" style="14" bestFit="1" customWidth="1" collapsed="1"/>
    <col min="28" max="28" width="3.109375" style="15" bestFit="1" customWidth="1" collapsed="1"/>
    <col min="29" max="29" width="3.21875" style="13" bestFit="1" customWidth="1" collapsed="1"/>
    <col min="30" max="30" width="2" bestFit="1" customWidth="1" collapsed="1"/>
    <col min="31" max="31" width="12.5546875" style="14" bestFit="1" customWidth="1" collapsed="1"/>
    <col min="32" max="32" width="3.21875" style="13" bestFit="1" customWidth="1" collapsed="1"/>
    <col min="33" max="33" width="2" style="14" bestFit="1" customWidth="1" collapsed="1"/>
    <col min="34" max="34" width="12.5546875" style="15" bestFit="1" customWidth="1" collapsed="1"/>
    <col min="35" max="35" width="3.21875" style="13" bestFit="1" customWidth="1" collapsed="1"/>
    <col min="36" max="36" width="2" style="14" bestFit="1" customWidth="1" collapsed="1"/>
    <col min="37" max="37" width="12.5546875" style="15" bestFit="1" customWidth="1" collapsed="1"/>
    <col min="38" max="38" width="3.21875" style="13" bestFit="1" customWidth="1" collapsed="1"/>
    <col min="39" max="39" width="2.5546875" style="14" bestFit="1" customWidth="1" collapsed="1"/>
    <col min="40" max="40" width="11.5546875" style="15" bestFit="1" customWidth="1" collapsed="1"/>
    <col min="41" max="41" width="3.21875" style="13" bestFit="1" customWidth="1" collapsed="1"/>
    <col min="42" max="42" width="2" style="14" bestFit="1" customWidth="1" collapsed="1"/>
    <col min="43" max="43" width="12.5546875" style="15" bestFit="1" customWidth="1" collapsed="1"/>
    <col min="44" max="44" width="3.21875" style="13" bestFit="1" customWidth="1" collapsed="1"/>
    <col min="45" max="45" width="2" style="14" bestFit="1" customWidth="1" collapsed="1"/>
    <col min="46" max="46" width="12.5546875" style="15" bestFit="1" customWidth="1" collapsed="1"/>
    <col min="47" max="47" width="3.21875" style="14" bestFit="1" customWidth="1" collapsed="1"/>
    <col min="48" max="49" width="2" style="14" bestFit="1" customWidth="1" collapsed="1"/>
    <col min="50" max="50" width="3.21875" style="14" bestFit="1" customWidth="1" collapsed="1"/>
    <col min="51" max="51" width="2.5546875" style="14" bestFit="1" customWidth="1" collapsed="1"/>
    <col min="52" max="52" width="12.5546875" style="14" bestFit="1" customWidth="1" collapsed="1"/>
    <col min="53" max="53" width="2.33203125" style="13" bestFit="1" customWidth="1" collapsed="1"/>
    <col min="54" max="54" width="2" style="19" bestFit="1" customWidth="1" collapsed="1"/>
    <col min="55" max="55" width="2" style="14" bestFit="1" customWidth="1" collapsed="1"/>
    <col min="56" max="56" width="3.109375" style="15" bestFit="1" customWidth="1" collapsed="1"/>
    <col min="57" max="57" width="2" style="13" bestFit="1" customWidth="1" collapsed="1"/>
    <col min="58" max="58" width="2" style="14" bestFit="1" customWidth="1" collapsed="1"/>
    <col min="59" max="59" width="3.109375" style="15" bestFit="1" customWidth="1" collapsed="1"/>
    <col min="60" max="60" width="3.44140625" style="13" bestFit="1" customWidth="1" collapsed="1"/>
    <col min="61" max="61" width="2" style="14" bestFit="1" customWidth="1" collapsed="1"/>
    <col min="62" max="62" width="4" style="15" bestFit="1" customWidth="1" collapsed="1"/>
    <col min="63" max="63" width="4" style="13" bestFit="1" customWidth="1" collapsed="1"/>
    <col min="64" max="64" width="2" style="14" bestFit="1" customWidth="1" collapsed="1"/>
    <col min="65" max="65" width="4.6640625" style="13" bestFit="1" customWidth="1" collapsed="1"/>
    <col min="66" max="66" width="2" style="14" bestFit="1" customWidth="1" collapsed="1"/>
    <col min="67" max="67" width="4.77734375" style="13" bestFit="1" customWidth="1" collapsed="1"/>
    <col min="68" max="68" width="2" style="14" bestFit="1" customWidth="1" collapsed="1"/>
    <col min="69" max="69" width="5.109375" style="13" bestFit="1" customWidth="1" collapsed="1"/>
    <col min="70" max="70" width="2" style="14" bestFit="1" customWidth="1" collapsed="1"/>
    <col min="71" max="71" width="3" style="13" bestFit="1" customWidth="1" collapsed="1"/>
    <col min="72" max="72" width="2" bestFit="1" customWidth="1" collapsed="1"/>
    <col min="73" max="73" width="2" style="14" bestFit="1" customWidth="1" collapsed="1"/>
    <col min="74" max="74" width="3.109375" style="14" bestFit="1" customWidth="1" collapsed="1"/>
    <col min="75" max="75" width="3.44140625" style="13" bestFit="1" customWidth="1" collapsed="1"/>
    <col min="76" max="76" width="2" bestFit="1" customWidth="1" collapsed="1"/>
    <col min="77" max="77" width="3.109375" style="14" bestFit="1" customWidth="1" collapsed="1"/>
    <col min="78" max="78" width="3" style="13" bestFit="1" customWidth="1" collapsed="1"/>
    <col min="79" max="79" width="3.109375" style="14" bestFit="1" customWidth="1" collapsed="1"/>
    <col min="80" max="80" width="4" style="13" bestFit="1" customWidth="1" collapsed="1"/>
    <col min="81" max="81" width="3.109375" style="14" bestFit="1" customWidth="1" collapsed="1"/>
    <col min="82" max="82" width="4" style="13" bestFit="1" customWidth="1" collapsed="1"/>
    <col min="83" max="83" width="3.109375" style="14" bestFit="1" customWidth="1" collapsed="1"/>
    <col min="84" max="84" width="4" style="13" bestFit="1" customWidth="1" collapsed="1"/>
    <col min="85" max="85" width="3.109375" style="14" bestFit="1" customWidth="1" collapsed="1"/>
    <col min="86" max="86" width="2.109375" style="13" bestFit="1" customWidth="1" collapsed="1"/>
    <col min="87" max="87" width="5.21875" style="14" customWidth="1" collapsed="1"/>
    <col min="88" max="88" width="2.109375" style="13" bestFit="1" customWidth="1" collapsed="1"/>
    <col min="89" max="89" width="4.33203125" style="14" customWidth="1" collapsed="1"/>
    <col min="90" max="90" width="2.109375" style="13" bestFit="1" customWidth="1" collapsed="1"/>
    <col min="91" max="91" width="2" style="14" bestFit="1" customWidth="1" collapsed="1"/>
    <col min="92" max="92" width="3.109375" style="15" bestFit="1" customWidth="1" collapsed="1"/>
    <col min="93" max="93" width="3.77734375" style="13" bestFit="1" customWidth="1" collapsed="1"/>
    <col min="94" max="94" width="3.109375" style="14" bestFit="1" customWidth="1" collapsed="1"/>
    <col min="95" max="95" width="3.21875" style="13" bestFit="1" customWidth="1" collapsed="1"/>
    <col min="96" max="96" width="3.21875" style="19" customWidth="1" collapsed="1"/>
    <col min="97" max="97" width="4" style="14" bestFit="1" customWidth="1" collapsed="1"/>
    <col min="98" max="98" width="3.21875" style="13" bestFit="1" customWidth="1" collapsed="1"/>
    <col min="99" max="99" width="4" style="14" bestFit="1" customWidth="1" collapsed="1"/>
    <col min="100" max="100" width="3.21875" style="13" bestFit="1" customWidth="1" collapsed="1"/>
    <col min="101" max="101" width="4.109375" style="14" bestFit="1" customWidth="1" collapsed="1"/>
    <col min="102" max="102" width="3.21875" style="13" bestFit="1" customWidth="1" collapsed="1"/>
    <col min="103" max="103" width="4" style="14" bestFit="1" customWidth="1" collapsed="1"/>
    <col min="104" max="104" width="3.5546875" style="13" bestFit="1" customWidth="1" collapsed="1"/>
    <col min="105" max="105" width="4" style="14" bestFit="1" customWidth="1" collapsed="1"/>
    <col min="106" max="106" width="3.21875" style="13" bestFit="1" customWidth="1" collapsed="1"/>
    <col min="107" max="107" width="4" style="14" bestFit="1" customWidth="1" collapsed="1"/>
    <col min="108" max="108" width="3.44140625" style="13" bestFit="1" customWidth="1" collapsed="1"/>
    <col min="109" max="109" width="7.33203125" style="14" bestFit="1" customWidth="1" collapsed="1"/>
    <col min="110" max="110" width="2.109375" bestFit="1" customWidth="1" collapsed="1"/>
    <col min="111" max="111" width="4.109375" style="13" bestFit="1" customWidth="1" collapsed="1"/>
    <col min="112" max="112" width="3.33203125" style="13" bestFit="1" customWidth="1" collapsed="1"/>
    <col min="113" max="113" width="5.21875" style="14" bestFit="1" customWidth="1" collapsed="1"/>
    <col min="114" max="114" width="3.33203125" style="13" bestFit="1" customWidth="1" collapsed="1"/>
    <col min="115" max="115" width="5.21875" style="14" bestFit="1" customWidth="1" collapsed="1"/>
    <col min="116" max="116" width="2.88671875" style="14" bestFit="1" customWidth="1" collapsed="1"/>
    <col min="117" max="117" width="5.21875" style="13" bestFit="1" customWidth="1" collapsed="1"/>
    <col min="118" max="118" width="2.88671875" style="13" bestFit="1" customWidth="1" collapsed="1"/>
    <col min="119" max="119" width="5.21875" style="13" bestFit="1" customWidth="1" collapsed="1"/>
    <col min="120" max="120" width="3.21875" style="13" bestFit="1" customWidth="1" collapsed="1"/>
    <col min="121" max="121" width="2" bestFit="1" customWidth="1" collapsed="1"/>
    <col min="122" max="122" width="4" style="14" bestFit="1" customWidth="1" collapsed="1"/>
    <col min="123" max="124" width="3.109375" style="1" bestFit="1" customWidth="1" collapsed="1"/>
    <col min="125" max="125" width="3.109375" bestFit="1" customWidth="1" collapsed="1"/>
    <col min="126" max="126" width="4" bestFit="1" customWidth="1" collapsed="1"/>
    <col min="127" max="127" width="3.109375" bestFit="1" customWidth="1" collapsed="1"/>
    <col min="128" max="128" width="4.109375" bestFit="1" customWidth="1" collapsed="1"/>
  </cols>
  <sheetData>
    <row r="1" spans="1:128" s="4" customFormat="1" x14ac:dyDescent="0.3">
      <c r="A1" s="2" t="s">
        <v>39</v>
      </c>
      <c r="B1" s="16"/>
      <c r="C1" s="16"/>
      <c r="D1" s="16"/>
      <c r="E1" s="3"/>
      <c r="F1" s="2" t="s">
        <v>42</v>
      </c>
      <c r="G1" s="16"/>
      <c r="I1" s="3"/>
      <c r="J1" s="2" t="s">
        <v>43</v>
      </c>
      <c r="K1" s="16"/>
      <c r="M1" s="3"/>
      <c r="N1" s="2" t="s">
        <v>44</v>
      </c>
      <c r="O1" s="16"/>
      <c r="Q1" s="3"/>
      <c r="R1" s="2" t="s">
        <v>45</v>
      </c>
      <c r="S1" s="16"/>
      <c r="T1" s="3"/>
      <c r="U1" s="8"/>
      <c r="V1" s="2" t="s">
        <v>46</v>
      </c>
      <c r="W1" s="16"/>
      <c r="Y1" s="3"/>
      <c r="Z1" s="2" t="s">
        <v>47</v>
      </c>
      <c r="AA1" s="3"/>
      <c r="AB1" s="8"/>
      <c r="AC1" s="2" t="s">
        <v>47</v>
      </c>
      <c r="AE1" s="3"/>
      <c r="AF1" s="2" t="s">
        <v>47</v>
      </c>
      <c r="AG1" s="3"/>
      <c r="AH1" s="8"/>
      <c r="AI1" s="2" t="s">
        <v>47</v>
      </c>
      <c r="AJ1" s="3"/>
      <c r="AK1" s="8"/>
      <c r="AL1" s="2" t="s">
        <v>47</v>
      </c>
      <c r="AM1" s="3"/>
      <c r="AN1" s="8"/>
      <c r="AO1" s="2" t="s">
        <v>47</v>
      </c>
      <c r="AP1" s="3"/>
      <c r="AQ1" s="8"/>
      <c r="AR1" s="2" t="s">
        <v>47</v>
      </c>
      <c r="AS1" s="3"/>
      <c r="AT1" s="8"/>
      <c r="AU1" s="4" t="s">
        <v>47</v>
      </c>
      <c r="AX1" s="4" t="s">
        <v>47</v>
      </c>
      <c r="BA1" s="2" t="s">
        <v>88</v>
      </c>
      <c r="BB1" s="16"/>
      <c r="BC1" s="3"/>
      <c r="BD1" s="8"/>
      <c r="BE1" s="2" t="s">
        <v>48</v>
      </c>
      <c r="BF1" s="3"/>
      <c r="BG1" s="8"/>
      <c r="BH1" s="2" t="s">
        <v>49</v>
      </c>
      <c r="BI1" s="3"/>
      <c r="BJ1" s="8"/>
      <c r="BK1" s="2" t="s">
        <v>50</v>
      </c>
      <c r="BL1" s="3"/>
      <c r="BM1" s="2" t="s">
        <v>51</v>
      </c>
      <c r="BN1" s="3"/>
      <c r="BO1" s="2" t="s">
        <v>52</v>
      </c>
      <c r="BP1" s="3"/>
      <c r="BQ1" s="2" t="s">
        <v>53</v>
      </c>
      <c r="BR1" s="3"/>
      <c r="BS1" s="2" t="s">
        <v>54</v>
      </c>
      <c r="BU1" s="3"/>
      <c r="BV1" s="3"/>
      <c r="BW1" s="2" t="s">
        <v>55</v>
      </c>
      <c r="BY1" s="3"/>
      <c r="BZ1" s="2" t="s">
        <v>56</v>
      </c>
      <c r="CA1" s="3"/>
      <c r="CB1" s="2" t="s">
        <v>57</v>
      </c>
      <c r="CC1" s="3"/>
      <c r="CD1" s="2" t="s">
        <v>58</v>
      </c>
      <c r="CE1" s="3"/>
      <c r="CF1" s="2" t="s">
        <v>59</v>
      </c>
      <c r="CG1" s="3"/>
      <c r="CH1" s="2" t="s">
        <v>60</v>
      </c>
      <c r="CI1" s="3"/>
      <c r="CJ1" s="2" t="s">
        <v>60</v>
      </c>
      <c r="CK1" s="3"/>
      <c r="CL1" s="2" t="s">
        <v>60</v>
      </c>
      <c r="CM1" s="3"/>
      <c r="CN1" s="8"/>
      <c r="CO1" s="2" t="s">
        <v>62</v>
      </c>
      <c r="CP1" s="3"/>
      <c r="CQ1" s="2" t="s">
        <v>1243</v>
      </c>
      <c r="CR1" s="16"/>
      <c r="CS1" s="3"/>
      <c r="CT1" s="2" t="s">
        <v>64</v>
      </c>
      <c r="CU1" s="3"/>
      <c r="CV1" s="2" t="s">
        <v>64</v>
      </c>
      <c r="CW1" s="3"/>
      <c r="CX1" s="2" t="s">
        <v>64</v>
      </c>
      <c r="CY1" s="3"/>
      <c r="CZ1" s="2" t="s">
        <v>64</v>
      </c>
      <c r="DA1" s="3"/>
      <c r="DB1" s="2" t="s">
        <v>64</v>
      </c>
      <c r="DC1" s="3"/>
      <c r="DD1" s="2" t="s">
        <v>67</v>
      </c>
      <c r="DE1" s="3"/>
      <c r="DF1" s="2" t="s">
        <v>94</v>
      </c>
      <c r="DH1" s="2" t="s">
        <v>70</v>
      </c>
      <c r="DI1" s="3"/>
      <c r="DJ1" s="2" t="s">
        <v>71</v>
      </c>
      <c r="DK1" s="3"/>
      <c r="DL1" s="2" t="s">
        <v>69</v>
      </c>
      <c r="DN1" s="2" t="s">
        <v>72</v>
      </c>
      <c r="DO1" s="2"/>
      <c r="DP1" s="2" t="s">
        <v>77</v>
      </c>
      <c r="DR1" s="3"/>
      <c r="DS1" s="16" t="s">
        <v>90</v>
      </c>
      <c r="DT1" s="16"/>
      <c r="DU1" s="4" t="s">
        <v>91</v>
      </c>
      <c r="DW1" s="4" t="s">
        <v>92</v>
      </c>
    </row>
    <row r="2" spans="1:128" s="7" customFormat="1" x14ac:dyDescent="0.3">
      <c r="A2" s="5" t="s">
        <v>78</v>
      </c>
      <c r="B2" s="17" t="s">
        <v>79</v>
      </c>
      <c r="C2" s="17" t="s">
        <v>40</v>
      </c>
      <c r="D2" s="17" t="s">
        <v>41</v>
      </c>
      <c r="E2" s="6"/>
      <c r="F2" s="5" t="s">
        <v>80</v>
      </c>
      <c r="G2" s="17" t="s">
        <v>79</v>
      </c>
      <c r="H2" s="7" t="s">
        <v>40</v>
      </c>
      <c r="I2" s="6"/>
      <c r="J2" s="5" t="s">
        <v>81</v>
      </c>
      <c r="K2" s="17" t="s">
        <v>79</v>
      </c>
      <c r="L2" s="7" t="s">
        <v>40</v>
      </c>
      <c r="M2" s="6"/>
      <c r="N2" s="5" t="s">
        <v>82</v>
      </c>
      <c r="O2" s="17" t="s">
        <v>79</v>
      </c>
      <c r="P2" s="7" t="s">
        <v>40</v>
      </c>
      <c r="Q2" s="6"/>
      <c r="R2" s="5" t="s">
        <v>83</v>
      </c>
      <c r="S2" s="17" t="s">
        <v>79</v>
      </c>
      <c r="T2" s="6" t="s">
        <v>40</v>
      </c>
      <c r="U2" s="9"/>
      <c r="V2" s="5" t="s">
        <v>84</v>
      </c>
      <c r="W2" s="17" t="s">
        <v>79</v>
      </c>
      <c r="X2" s="7" t="s">
        <v>40</v>
      </c>
      <c r="Y2" s="6"/>
      <c r="Z2" s="5" t="s">
        <v>85</v>
      </c>
      <c r="AA2" s="6" t="s">
        <v>78</v>
      </c>
      <c r="AB2" s="9"/>
      <c r="AC2" s="5" t="s">
        <v>78</v>
      </c>
      <c r="AD2" s="7" t="s">
        <v>80</v>
      </c>
      <c r="AE2" s="6"/>
      <c r="AF2" s="5" t="s">
        <v>80</v>
      </c>
      <c r="AG2" s="6" t="s">
        <v>86</v>
      </c>
      <c r="AH2" s="9"/>
      <c r="AI2" s="5" t="s">
        <v>80</v>
      </c>
      <c r="AJ2" s="6" t="s">
        <v>81</v>
      </c>
      <c r="AK2" s="9"/>
      <c r="AL2" s="5" t="s">
        <v>80</v>
      </c>
      <c r="AM2" s="6" t="s">
        <v>83</v>
      </c>
      <c r="AN2" s="9"/>
      <c r="AO2" s="5" t="s">
        <v>80</v>
      </c>
      <c r="AP2" s="6" t="s">
        <v>82</v>
      </c>
      <c r="AQ2" s="9"/>
      <c r="AR2" s="5" t="s">
        <v>81</v>
      </c>
      <c r="AS2" s="6" t="s">
        <v>78</v>
      </c>
      <c r="AT2" s="9"/>
      <c r="AU2" s="6" t="s">
        <v>81</v>
      </c>
      <c r="AV2" s="6" t="s">
        <v>84</v>
      </c>
      <c r="AW2" s="6"/>
      <c r="AX2" s="6" t="s">
        <v>85</v>
      </c>
      <c r="AY2" s="6" t="s">
        <v>83</v>
      </c>
      <c r="AZ2" s="6"/>
      <c r="BA2" s="5" t="s">
        <v>63</v>
      </c>
      <c r="BB2" s="17" t="s">
        <v>61</v>
      </c>
      <c r="BC2" s="6" t="s">
        <v>40</v>
      </c>
      <c r="BD2" s="9"/>
      <c r="BE2" s="5" t="s">
        <v>61</v>
      </c>
      <c r="BF2" s="6" t="s">
        <v>40</v>
      </c>
      <c r="BG2" s="9"/>
      <c r="BH2" s="5" t="s">
        <v>41</v>
      </c>
      <c r="BI2" s="6" t="s">
        <v>40</v>
      </c>
      <c r="BJ2" s="9"/>
      <c r="BK2" s="5" t="s">
        <v>40</v>
      </c>
      <c r="BL2" s="6"/>
      <c r="BM2" s="5" t="s">
        <v>40</v>
      </c>
      <c r="BN2" s="6"/>
      <c r="BO2" s="5" t="s">
        <v>40</v>
      </c>
      <c r="BP2" s="6"/>
      <c r="BQ2" s="5" t="s">
        <v>40</v>
      </c>
      <c r="BR2" s="6"/>
      <c r="BS2" s="5" t="s">
        <v>63</v>
      </c>
      <c r="BT2" s="7" t="s">
        <v>85</v>
      </c>
      <c r="BU2" s="6" t="s">
        <v>40</v>
      </c>
      <c r="BV2" s="6"/>
      <c r="BW2" s="5" t="s">
        <v>63</v>
      </c>
      <c r="BX2" s="7" t="s">
        <v>40</v>
      </c>
      <c r="BY2" s="6"/>
      <c r="BZ2" s="5" t="s">
        <v>40</v>
      </c>
      <c r="CA2" s="6"/>
      <c r="CB2" s="5" t="s">
        <v>40</v>
      </c>
      <c r="CC2" s="6"/>
      <c r="CD2" s="5" t="s">
        <v>40</v>
      </c>
      <c r="CE2" s="6"/>
      <c r="CF2" s="5" t="s">
        <v>40</v>
      </c>
      <c r="CG2" s="6"/>
      <c r="CH2" s="5" t="s">
        <v>41</v>
      </c>
      <c r="CI2" s="6"/>
      <c r="CJ2" s="5" t="s">
        <v>61</v>
      </c>
      <c r="CK2" s="6"/>
      <c r="CL2" s="5" t="s">
        <v>61</v>
      </c>
      <c r="CM2" s="6" t="s">
        <v>63</v>
      </c>
      <c r="CN2" s="9"/>
      <c r="CO2" s="5" t="s">
        <v>63</v>
      </c>
      <c r="CP2" s="6"/>
      <c r="CQ2" s="5" t="s">
        <v>65</v>
      </c>
      <c r="CR2" s="17" t="s">
        <v>41</v>
      </c>
      <c r="CS2" s="6"/>
      <c r="CT2" s="5" t="s">
        <v>66</v>
      </c>
      <c r="CU2" s="6"/>
      <c r="CV2" s="5" t="s">
        <v>76</v>
      </c>
      <c r="CW2" s="6"/>
      <c r="CX2" s="5" t="s">
        <v>75</v>
      </c>
      <c r="CY2" s="6"/>
      <c r="CZ2" s="5" t="s">
        <v>74</v>
      </c>
      <c r="DA2" s="6"/>
      <c r="DB2" s="5" t="s">
        <v>73</v>
      </c>
      <c r="DC2" s="6"/>
      <c r="DD2" s="5" t="s">
        <v>40</v>
      </c>
      <c r="DE2" s="6"/>
      <c r="DF2" s="5" t="s">
        <v>68</v>
      </c>
      <c r="DH2" s="5" t="s">
        <v>63</v>
      </c>
      <c r="DI2" s="6"/>
      <c r="DJ2" s="5" t="s">
        <v>63</v>
      </c>
      <c r="DK2" s="6"/>
      <c r="DL2" s="5" t="s">
        <v>87</v>
      </c>
      <c r="DN2" s="5" t="s">
        <v>87</v>
      </c>
      <c r="DO2" s="5"/>
      <c r="DP2" s="5" t="s">
        <v>86</v>
      </c>
      <c r="DQ2" s="7" t="s">
        <v>40</v>
      </c>
      <c r="DR2" s="6"/>
      <c r="DS2" s="17" t="s">
        <v>1197</v>
      </c>
      <c r="DT2" s="17"/>
      <c r="DU2" s="7" t="s">
        <v>1197</v>
      </c>
      <c r="DW2" s="7" t="s">
        <v>93</v>
      </c>
    </row>
    <row r="3" spans="1:128" x14ac:dyDescent="0.3">
      <c r="A3" s="10">
        <v>0</v>
      </c>
      <c r="B3" s="18">
        <v>0</v>
      </c>
      <c r="C3" s="18">
        <v>0</v>
      </c>
      <c r="D3" s="18">
        <v>0</v>
      </c>
      <c r="E3" s="35">
        <v>1000</v>
      </c>
      <c r="F3" s="10">
        <v>0</v>
      </c>
      <c r="G3" s="18">
        <v>0</v>
      </c>
      <c r="H3" s="18">
        <v>0</v>
      </c>
      <c r="I3" s="35">
        <v>2000</v>
      </c>
      <c r="J3" s="10">
        <v>0</v>
      </c>
      <c r="K3" s="18">
        <v>0</v>
      </c>
      <c r="L3" s="18">
        <v>0</v>
      </c>
      <c r="M3" s="35">
        <v>2000</v>
      </c>
      <c r="N3" s="10">
        <v>0</v>
      </c>
      <c r="O3" s="18">
        <v>0</v>
      </c>
      <c r="P3" s="18">
        <v>0</v>
      </c>
      <c r="Q3" s="35">
        <v>2000</v>
      </c>
      <c r="R3" s="10">
        <v>0</v>
      </c>
      <c r="S3" s="18">
        <v>0</v>
      </c>
      <c r="T3" s="18">
        <v>0</v>
      </c>
      <c r="U3" s="35">
        <v>2000</v>
      </c>
      <c r="V3" s="10">
        <v>0</v>
      </c>
      <c r="W3" s="18">
        <v>0</v>
      </c>
      <c r="X3" s="18">
        <v>0</v>
      </c>
      <c r="Y3" s="35">
        <v>2000</v>
      </c>
      <c r="Z3" s="10">
        <v>0</v>
      </c>
      <c r="AA3" s="14">
        <v>0</v>
      </c>
      <c r="AB3" s="11">
        <f>ROUND( Dis2point(INDEX(Sheet1!$A$4:$Q$14,Z3 + 1,2),INDEX(Sheet1!$A$4:$Q$14,Z3 + 1,3),INDEX(Sheet1!$A$4:$Q$14,AA3 + 1,4),INDEX(Sheet1!$A$4:$Q$14,AA3 + 1,5)),0)</f>
        <v>17</v>
      </c>
      <c r="AC3" s="10">
        <v>0</v>
      </c>
      <c r="AD3" s="14">
        <v>0</v>
      </c>
      <c r="AE3" s="11">
        <f>Dis2point(INDEX(Sheet1!$A$4:$Q$14,AC3 + 1,4),INDEX(Sheet1!$A$4:$Q$14,AC3 + 1,5),INDEX(Sheet1!$A$4:$Q$14,AD3 + 1,14),INDEX(Sheet1!$A$4:$Q$14,AD3 + 1,15))</f>
        <v>15.620499351813308</v>
      </c>
      <c r="AF3" s="10">
        <v>0</v>
      </c>
      <c r="AG3" s="14">
        <v>0</v>
      </c>
      <c r="AH3" s="11">
        <f>Dis2point(INDEX(Sheet1!$A$4:$Q$14,AF3 + 1,14),INDEX(Sheet1!$A$4:$Q$14,AF3 + 1,15),INDEX(Sheet1!$A$4:$Q$14,AG3 + 1,16),INDEX(Sheet1!$A$4:$Q$14,AG3 + 1,17))</f>
        <v>9.4868329805051381</v>
      </c>
      <c r="AI3" s="10">
        <v>0</v>
      </c>
      <c r="AJ3" s="14">
        <v>0</v>
      </c>
      <c r="AK3" s="11">
        <f>Dis2point(INDEX(Sheet1!$A$4:$Q$14,AI3 + 1,14),INDEX(Sheet1!$A$4:$Q$14,AI3 + 1,15),INDEX(Sheet1!$A$4:$Q$14,AJ3 + 1,8),INDEX(Sheet1!$A$4:$Q$14,AJ3 + 1,9))</f>
        <v>10.04987562112089</v>
      </c>
      <c r="AL3" s="10">
        <v>0</v>
      </c>
      <c r="AM3" s="14">
        <v>0</v>
      </c>
      <c r="AN3" s="11">
        <f>Dis2point(INDEX(Sheet1!$A$4:$Q$14,AL3 + 1,14),INDEX(Sheet1!$A$4:$Q$14,AL3 + 1,15),INDEX(Sheet1!$A$4:$Q$14,AM3 + 1,12),INDEX(Sheet1!$A$4:$Q$14,AM3 + 1,13))</f>
        <v>6.0827625302982193</v>
      </c>
      <c r="AO3" s="10">
        <v>0</v>
      </c>
      <c r="AP3" s="14">
        <v>0</v>
      </c>
      <c r="AQ3" s="11">
        <f>Dis2point(INDEX(Sheet1!$A$4:$Q$14,AO3 + 1,14),INDEX(Sheet1!$A$4:$Q$14,AO3 + 1,15),INDEX(Sheet1!$A$4:$Q$14,AP3 + 1,10),INDEX(Sheet1!$A$4:$Q$14,AP3 + 1,11))</f>
        <v>10.04987562112089</v>
      </c>
      <c r="AR3" s="10">
        <v>0</v>
      </c>
      <c r="AS3" s="14">
        <v>0</v>
      </c>
      <c r="AT3" s="11">
        <f>Dis2point(INDEX(Sheet1!$A$4:$Q$14,AR3 + 1,8),INDEX(Sheet1!$A$4:$Q$14,AR3 + 1,9),INDEX(Sheet1!$A$4:$Q$14,AS3 + 1,4),INDEX(Sheet1!$A$4:$Q$14,AS3 + 1,5))</f>
        <v>11</v>
      </c>
      <c r="AU3" s="10">
        <v>0</v>
      </c>
      <c r="AV3" s="14">
        <v>0</v>
      </c>
      <c r="AW3" s="11">
        <f>Dis2point(INDEX(Sheet1!$A$4:$Q$14,AU3 + 1,8),INDEX(Sheet1!$A$4:$Q$14,AU3 + 1,9),INDEX(Sheet1!$A$4:$Q$14,AV3 + 1,6),INDEX(Sheet1!$A$4:$Q$14,AV3 + 1,7))</f>
        <v>6</v>
      </c>
      <c r="AX3" s="10">
        <v>0</v>
      </c>
      <c r="AY3" s="14">
        <v>0</v>
      </c>
      <c r="AZ3" s="11">
        <f>Dis2point(INDEX(Sheet1!$A$4:$Q$14,AX3 + 1,2),INDEX(Sheet1!$A$4:$Q$14,AX3 + 1,3),INDEX(Sheet1!$A$4:$Q$14,AY3 + 1,12),INDEX(Sheet1!$A$4:$Q$14,AY3 + 1,13))</f>
        <v>4.2426406871192848</v>
      </c>
      <c r="BA3" s="10">
        <v>0</v>
      </c>
      <c r="BB3" s="18">
        <v>0</v>
      </c>
      <c r="BC3" s="14">
        <v>0</v>
      </c>
      <c r="BD3" s="11">
        <v>10</v>
      </c>
      <c r="BE3" s="10">
        <v>0</v>
      </c>
      <c r="BF3" s="14">
        <v>0</v>
      </c>
      <c r="BG3" s="11">
        <v>10</v>
      </c>
      <c r="BH3" s="10">
        <v>0</v>
      </c>
      <c r="BI3" s="14">
        <v>0</v>
      </c>
      <c r="BJ3" s="11">
        <v>6</v>
      </c>
      <c r="BK3" s="10">
        <v>0</v>
      </c>
      <c r="BL3" s="11">
        <v>6</v>
      </c>
      <c r="BM3" s="10">
        <v>0</v>
      </c>
      <c r="BN3" s="11">
        <v>6</v>
      </c>
      <c r="BO3" s="10">
        <v>0</v>
      </c>
      <c r="BP3" s="11">
        <v>6</v>
      </c>
      <c r="BQ3" s="10">
        <v>0</v>
      </c>
      <c r="BR3" s="11">
        <v>6</v>
      </c>
      <c r="BS3" s="10">
        <v>0</v>
      </c>
      <c r="BT3">
        <v>0</v>
      </c>
      <c r="BU3" s="11">
        <v>0</v>
      </c>
      <c r="BV3" s="11">
        <v>10</v>
      </c>
      <c r="BW3" s="10">
        <v>0</v>
      </c>
      <c r="BX3">
        <v>0</v>
      </c>
      <c r="BY3" s="11">
        <v>13</v>
      </c>
      <c r="BZ3" s="10">
        <v>0</v>
      </c>
      <c r="CA3" s="11">
        <v>16</v>
      </c>
      <c r="CB3" s="10">
        <v>0</v>
      </c>
      <c r="CC3" s="11">
        <v>16</v>
      </c>
      <c r="CD3" s="10">
        <v>0</v>
      </c>
      <c r="CE3" s="11">
        <v>20</v>
      </c>
      <c r="CF3" s="10">
        <v>0</v>
      </c>
      <c r="CG3" s="11">
        <v>20</v>
      </c>
      <c r="CH3" s="10">
        <v>0</v>
      </c>
      <c r="CI3" s="11">
        <v>0.1</v>
      </c>
      <c r="CJ3" s="10">
        <v>0</v>
      </c>
      <c r="CK3" s="11">
        <v>0.1</v>
      </c>
      <c r="CL3" s="10">
        <v>0</v>
      </c>
      <c r="CM3" s="14">
        <v>0</v>
      </c>
      <c r="CN3" s="11">
        <v>0.15</v>
      </c>
      <c r="CO3" s="10">
        <v>0</v>
      </c>
      <c r="CP3" s="11">
        <v>1</v>
      </c>
      <c r="CQ3" s="10">
        <v>0</v>
      </c>
      <c r="CR3" s="18">
        <v>0</v>
      </c>
      <c r="CS3" s="11">
        <v>100</v>
      </c>
      <c r="CT3" s="10">
        <v>0</v>
      </c>
      <c r="CU3" s="11">
        <v>400</v>
      </c>
      <c r="CV3" s="10">
        <v>0</v>
      </c>
      <c r="CW3" s="11">
        <v>200</v>
      </c>
      <c r="CX3" s="10">
        <v>0</v>
      </c>
      <c r="CY3" s="11">
        <v>200</v>
      </c>
      <c r="CZ3" s="10">
        <v>0</v>
      </c>
      <c r="DA3" s="11">
        <v>200</v>
      </c>
      <c r="DB3" s="10">
        <v>0</v>
      </c>
      <c r="DC3" s="11">
        <v>200</v>
      </c>
      <c r="DD3" s="10">
        <v>0</v>
      </c>
      <c r="DE3" s="29">
        <v>0</v>
      </c>
      <c r="DF3" s="20">
        <v>0</v>
      </c>
      <c r="DG3" s="11">
        <v>0.1</v>
      </c>
      <c r="DH3" s="10">
        <v>0</v>
      </c>
      <c r="DI3" s="11">
        <v>0.01</v>
      </c>
      <c r="DJ3" s="10">
        <v>0</v>
      </c>
      <c r="DK3" s="11">
        <v>0.76</v>
      </c>
      <c r="DL3" s="20">
        <v>0</v>
      </c>
      <c r="DM3" s="11">
        <v>0.3</v>
      </c>
      <c r="DN3" s="13">
        <v>0</v>
      </c>
      <c r="DO3" s="11">
        <v>0.3</v>
      </c>
      <c r="DP3" s="10">
        <v>0</v>
      </c>
      <c r="DQ3">
        <v>0</v>
      </c>
      <c r="DR3" s="11">
        <v>50</v>
      </c>
      <c r="DS3" s="1">
        <v>0</v>
      </c>
      <c r="DT3" s="1">
        <v>10</v>
      </c>
      <c r="DU3" s="21">
        <v>0</v>
      </c>
      <c r="DV3" s="21">
        <v>100</v>
      </c>
      <c r="DW3" s="21">
        <v>0</v>
      </c>
      <c r="DX3" s="21">
        <v>1</v>
      </c>
    </row>
    <row r="4" spans="1:128" x14ac:dyDescent="0.3">
      <c r="A4" s="10">
        <v>0</v>
      </c>
      <c r="B4" s="18">
        <v>0</v>
      </c>
      <c r="C4" s="18">
        <v>1</v>
      </c>
      <c r="D4" s="18">
        <v>0</v>
      </c>
      <c r="E4" s="35">
        <v>2000</v>
      </c>
      <c r="F4" s="10">
        <v>0</v>
      </c>
      <c r="G4" s="18">
        <v>0</v>
      </c>
      <c r="H4" s="18">
        <v>1</v>
      </c>
      <c r="I4" s="35">
        <v>2000</v>
      </c>
      <c r="J4" s="10">
        <v>0</v>
      </c>
      <c r="K4" s="18">
        <v>0</v>
      </c>
      <c r="L4" s="18">
        <v>1</v>
      </c>
      <c r="M4" s="35">
        <v>2000</v>
      </c>
      <c r="N4" s="10">
        <v>0</v>
      </c>
      <c r="O4" s="18">
        <v>0</v>
      </c>
      <c r="P4" s="18">
        <v>1</v>
      </c>
      <c r="Q4" s="35">
        <v>2000</v>
      </c>
      <c r="R4" s="10">
        <v>0</v>
      </c>
      <c r="S4" s="18">
        <v>0</v>
      </c>
      <c r="T4" s="18">
        <v>1</v>
      </c>
      <c r="U4" s="35">
        <v>2000</v>
      </c>
      <c r="V4" s="10">
        <v>0</v>
      </c>
      <c r="W4" s="18">
        <v>0</v>
      </c>
      <c r="X4" s="18">
        <v>1</v>
      </c>
      <c r="Y4" s="35">
        <v>2000</v>
      </c>
      <c r="Z4" s="10">
        <v>0</v>
      </c>
      <c r="AA4" s="14">
        <v>1</v>
      </c>
      <c r="AB4" s="11">
        <f>ROUND( Dis2point(INDEX(Sheet1!$A$4:$Q$14,Z4 + 1,2),INDEX(Sheet1!$A$4:$Q$14,Z4 + 1,3),INDEX(Sheet1!$A$4:$Q$14,AA4 + 1,4),INDEX(Sheet1!$A$4:$Q$14,AA4 + 1,5)),0)</f>
        <v>6</v>
      </c>
      <c r="AC4" s="10">
        <v>1</v>
      </c>
      <c r="AD4" s="14">
        <v>0</v>
      </c>
      <c r="AE4" s="11">
        <f>Dis2point(INDEX(Sheet1!$A$4:$Q$14,AC4 + 1,4),INDEX(Sheet1!$A$4:$Q$14,AC4 + 1,5),INDEX(Sheet1!$A$4:$Q$14,AD4 + 1,14),INDEX(Sheet1!$A$4:$Q$14,AD4 + 1,15))</f>
        <v>2.2360679774997898</v>
      </c>
      <c r="AF4" s="10"/>
      <c r="AH4" s="11"/>
      <c r="AI4" s="10"/>
      <c r="AK4" s="11"/>
      <c r="AL4" s="10"/>
      <c r="AN4" s="11"/>
      <c r="AO4" s="10"/>
      <c r="AQ4" s="11"/>
      <c r="AR4" s="10">
        <v>0</v>
      </c>
      <c r="AS4" s="14">
        <v>1</v>
      </c>
      <c r="AT4" s="11">
        <f>Dis2point(INDEX(Sheet1!$A$4:$Q$14,AR4 + 1,8),INDEX(Sheet1!$A$4:$Q$14,AR4 + 1,9),INDEX(Sheet1!$A$4:$Q$14,AS4 + 1,4),INDEX(Sheet1!$A$4:$Q$14,AS4 + 1,5))</f>
        <v>9.0553851381374173</v>
      </c>
      <c r="AU4" s="10"/>
      <c r="AW4" s="11"/>
      <c r="AX4" s="10"/>
      <c r="AZ4" s="11"/>
      <c r="BA4" s="10">
        <v>0</v>
      </c>
      <c r="BB4" s="18">
        <v>0</v>
      </c>
      <c r="BC4" s="14">
        <v>1</v>
      </c>
      <c r="BD4" s="11">
        <v>10</v>
      </c>
      <c r="BE4" s="10">
        <v>0</v>
      </c>
      <c r="BF4" s="20">
        <v>1</v>
      </c>
      <c r="BG4" s="11">
        <v>10</v>
      </c>
      <c r="BH4" s="10">
        <v>0</v>
      </c>
      <c r="BI4" s="20">
        <v>1</v>
      </c>
      <c r="BJ4" s="11">
        <v>6</v>
      </c>
      <c r="BK4" s="10">
        <v>1</v>
      </c>
      <c r="BL4" s="11">
        <v>6</v>
      </c>
      <c r="BM4" s="10">
        <v>1</v>
      </c>
      <c r="BN4" s="11">
        <v>6</v>
      </c>
      <c r="BO4" s="10">
        <v>1</v>
      </c>
      <c r="BP4" s="11">
        <v>6</v>
      </c>
      <c r="BQ4" s="10">
        <v>1</v>
      </c>
      <c r="BR4" s="11">
        <v>6</v>
      </c>
      <c r="BS4" s="10">
        <v>0</v>
      </c>
      <c r="BT4">
        <v>0</v>
      </c>
      <c r="BU4" s="11">
        <v>1</v>
      </c>
      <c r="BV4" s="11">
        <v>10</v>
      </c>
      <c r="BW4" s="10">
        <v>0</v>
      </c>
      <c r="BX4">
        <v>1</v>
      </c>
      <c r="BY4" s="11">
        <v>13</v>
      </c>
      <c r="BZ4" s="10">
        <v>1</v>
      </c>
      <c r="CA4" s="11">
        <v>16</v>
      </c>
      <c r="CB4" s="10">
        <v>1</v>
      </c>
      <c r="CC4" s="11">
        <v>16</v>
      </c>
      <c r="CD4" s="10">
        <v>1</v>
      </c>
      <c r="CE4" s="11">
        <v>20</v>
      </c>
      <c r="CF4" s="10">
        <v>1</v>
      </c>
      <c r="CG4" s="37">
        <v>20</v>
      </c>
      <c r="CH4" s="10"/>
      <c r="CI4" s="11"/>
      <c r="CJ4" s="10"/>
      <c r="CK4" s="11"/>
      <c r="CL4" s="10"/>
      <c r="CN4" s="11"/>
      <c r="CO4" s="10"/>
      <c r="CP4" s="11"/>
      <c r="CQ4" s="10"/>
      <c r="CR4" s="18"/>
      <c r="CS4" s="11"/>
      <c r="CT4" s="10"/>
      <c r="CU4" s="11"/>
      <c r="CV4" s="10"/>
      <c r="CW4" s="11"/>
      <c r="CX4" s="10"/>
      <c r="CY4" s="11"/>
      <c r="CZ4" s="10"/>
      <c r="DA4" s="11"/>
      <c r="DB4" s="10"/>
      <c r="DC4" s="11"/>
      <c r="DD4" s="10">
        <v>1</v>
      </c>
      <c r="DE4" s="11">
        <v>400000</v>
      </c>
      <c r="DG4" s="10"/>
      <c r="DH4" s="10"/>
      <c r="DI4" s="11"/>
      <c r="DJ4" s="10"/>
      <c r="DK4" s="11"/>
      <c r="DL4" s="11"/>
      <c r="DM4" s="10"/>
      <c r="DN4" s="10"/>
      <c r="DO4" s="10"/>
      <c r="DP4" s="10">
        <v>0</v>
      </c>
      <c r="DQ4">
        <v>1</v>
      </c>
      <c r="DR4" s="11">
        <v>100</v>
      </c>
      <c r="DS4" s="20">
        <v>1</v>
      </c>
      <c r="DT4" s="20">
        <v>20</v>
      </c>
      <c r="DU4" s="20">
        <v>1</v>
      </c>
      <c r="DV4" s="20">
        <v>150</v>
      </c>
    </row>
    <row r="5" spans="1:128" x14ac:dyDescent="0.3">
      <c r="A5" s="10">
        <v>0</v>
      </c>
      <c r="B5" s="18">
        <v>0</v>
      </c>
      <c r="C5" s="18">
        <v>2</v>
      </c>
      <c r="D5" s="18">
        <v>0</v>
      </c>
      <c r="E5" s="35">
        <v>100</v>
      </c>
      <c r="F5" s="10">
        <v>0</v>
      </c>
      <c r="G5" s="18">
        <v>0</v>
      </c>
      <c r="H5" s="18">
        <v>2</v>
      </c>
      <c r="I5" s="35">
        <v>2000</v>
      </c>
      <c r="J5" s="10">
        <v>0</v>
      </c>
      <c r="K5" s="18">
        <v>0</v>
      </c>
      <c r="L5" s="18">
        <v>2</v>
      </c>
      <c r="M5" s="35">
        <v>2000</v>
      </c>
      <c r="N5" s="10">
        <v>0</v>
      </c>
      <c r="O5" s="18">
        <v>0</v>
      </c>
      <c r="P5" s="18">
        <v>2</v>
      </c>
      <c r="Q5" s="35">
        <v>2000</v>
      </c>
      <c r="R5" s="10">
        <v>0</v>
      </c>
      <c r="S5" s="18">
        <v>0</v>
      </c>
      <c r="T5" s="18">
        <v>2</v>
      </c>
      <c r="U5" s="35">
        <v>2000</v>
      </c>
      <c r="V5" s="10">
        <v>0</v>
      </c>
      <c r="W5" s="18">
        <v>0</v>
      </c>
      <c r="X5" s="18">
        <v>2</v>
      </c>
      <c r="Y5" s="35">
        <v>2000</v>
      </c>
      <c r="Z5" s="10"/>
      <c r="AB5" s="11"/>
      <c r="AC5" s="10"/>
      <c r="AD5" s="14"/>
      <c r="AE5" s="11"/>
      <c r="AF5" s="10"/>
      <c r="AH5" s="11"/>
      <c r="AI5" s="10"/>
      <c r="AK5" s="11"/>
      <c r="AL5" s="10"/>
      <c r="AN5" s="11"/>
      <c r="AO5" s="10"/>
      <c r="AQ5" s="11"/>
      <c r="AR5" s="10"/>
      <c r="AT5" s="11"/>
      <c r="AU5" s="10"/>
      <c r="AW5" s="11"/>
      <c r="AX5" s="10"/>
      <c r="AZ5" s="11"/>
      <c r="BA5" s="10">
        <v>0</v>
      </c>
      <c r="BB5" s="18">
        <v>0</v>
      </c>
      <c r="BC5" s="14">
        <v>2</v>
      </c>
      <c r="BD5" s="11">
        <v>10</v>
      </c>
      <c r="BE5" s="10">
        <v>0</v>
      </c>
      <c r="BF5" s="20">
        <v>2</v>
      </c>
      <c r="BG5" s="11">
        <v>10</v>
      </c>
      <c r="BH5" s="10">
        <v>0</v>
      </c>
      <c r="BI5" s="20">
        <v>2</v>
      </c>
      <c r="BJ5" s="11">
        <v>100</v>
      </c>
      <c r="BK5" s="10">
        <v>2</v>
      </c>
      <c r="BL5" s="11">
        <v>6</v>
      </c>
      <c r="BM5" s="10">
        <v>2</v>
      </c>
      <c r="BN5" s="11">
        <v>6</v>
      </c>
      <c r="BO5" s="10">
        <v>2</v>
      </c>
      <c r="BP5" s="11">
        <v>6</v>
      </c>
      <c r="BQ5" s="10">
        <v>2</v>
      </c>
      <c r="BR5" s="11">
        <v>6</v>
      </c>
      <c r="BS5" s="10">
        <v>0</v>
      </c>
      <c r="BT5">
        <v>0</v>
      </c>
      <c r="BU5" s="11">
        <v>2</v>
      </c>
      <c r="BV5" s="11">
        <v>10</v>
      </c>
      <c r="BW5" s="10">
        <v>0</v>
      </c>
      <c r="BX5">
        <v>2</v>
      </c>
      <c r="BY5" s="11">
        <v>13</v>
      </c>
      <c r="BZ5" s="10">
        <v>2</v>
      </c>
      <c r="CA5" s="11">
        <v>16</v>
      </c>
      <c r="CB5" s="10">
        <v>2</v>
      </c>
      <c r="CC5" s="11">
        <v>16</v>
      </c>
      <c r="CD5" s="10">
        <v>2</v>
      </c>
      <c r="CE5" s="11">
        <v>20</v>
      </c>
      <c r="CF5" s="10">
        <v>2</v>
      </c>
      <c r="CG5" s="37">
        <v>20</v>
      </c>
      <c r="CH5" s="10"/>
      <c r="CI5" s="11"/>
      <c r="CJ5" s="10"/>
      <c r="CK5" s="11"/>
      <c r="CL5" s="10"/>
      <c r="CN5" s="11"/>
      <c r="CO5" s="10"/>
      <c r="CP5" s="11"/>
      <c r="CQ5" s="10"/>
      <c r="CR5" s="18"/>
      <c r="CS5" s="11"/>
      <c r="CT5" s="10"/>
      <c r="CU5" s="11"/>
      <c r="CV5" s="10"/>
      <c r="CW5" s="11"/>
      <c r="CX5" s="10"/>
      <c r="CY5" s="11"/>
      <c r="CZ5" s="10"/>
      <c r="DA5" s="11"/>
      <c r="DB5" s="10"/>
      <c r="DC5" s="11"/>
      <c r="DD5" s="10">
        <v>2</v>
      </c>
      <c r="DE5" s="11">
        <v>0</v>
      </c>
      <c r="DG5" s="10"/>
      <c r="DH5" s="10"/>
      <c r="DI5" s="11"/>
      <c r="DJ5" s="10"/>
      <c r="DK5" s="11"/>
      <c r="DL5" s="11"/>
      <c r="DM5" s="10"/>
      <c r="DN5" s="10"/>
      <c r="DO5" s="10"/>
      <c r="DP5" s="10">
        <v>0</v>
      </c>
      <c r="DQ5">
        <v>2</v>
      </c>
      <c r="DR5" s="11">
        <v>190</v>
      </c>
      <c r="DS5" s="20">
        <v>2</v>
      </c>
      <c r="DT5" s="20">
        <v>30</v>
      </c>
      <c r="DU5" s="20">
        <v>2</v>
      </c>
      <c r="DV5" s="20">
        <v>300</v>
      </c>
    </row>
    <row r="6" spans="1:128" x14ac:dyDescent="0.3">
      <c r="A6" s="10">
        <v>1</v>
      </c>
      <c r="B6" s="18">
        <v>0</v>
      </c>
      <c r="C6" s="18">
        <v>0</v>
      </c>
      <c r="D6" s="18">
        <v>0</v>
      </c>
      <c r="E6" s="35">
        <v>2000</v>
      </c>
      <c r="F6" s="10"/>
      <c r="G6" s="18"/>
      <c r="H6" s="18"/>
      <c r="I6" s="11"/>
      <c r="J6" s="10"/>
      <c r="K6" s="18"/>
      <c r="L6" s="18"/>
      <c r="M6" s="11"/>
      <c r="N6" s="10"/>
      <c r="O6" s="18"/>
      <c r="P6" s="18"/>
      <c r="Q6" s="30"/>
      <c r="R6" s="10"/>
      <c r="S6" s="18"/>
      <c r="T6" s="18"/>
      <c r="U6" s="31"/>
      <c r="V6" s="10"/>
      <c r="W6" s="18"/>
      <c r="X6" s="18"/>
      <c r="Y6" s="35"/>
      <c r="Z6" s="10"/>
      <c r="AB6" s="11"/>
      <c r="AC6" s="10"/>
      <c r="AD6" s="14"/>
      <c r="AE6" s="11"/>
      <c r="AF6" s="10"/>
      <c r="AH6" s="11"/>
      <c r="AI6" s="10"/>
      <c r="AK6" s="11"/>
      <c r="AL6" s="10"/>
      <c r="AN6" s="11"/>
      <c r="AO6" s="10"/>
      <c r="AQ6" s="11"/>
      <c r="AR6" s="10"/>
      <c r="AT6" s="11"/>
      <c r="AU6" s="10"/>
      <c r="AW6" s="11"/>
      <c r="AX6" s="10"/>
      <c r="AZ6" s="11"/>
      <c r="BA6" s="10"/>
      <c r="BB6" s="18"/>
      <c r="BD6" s="11"/>
      <c r="BE6" s="10"/>
      <c r="BG6" s="11"/>
      <c r="BH6" s="10"/>
      <c r="BJ6" s="11"/>
      <c r="BK6" s="10"/>
      <c r="BL6" s="11"/>
      <c r="BM6" s="10"/>
      <c r="BN6" s="11"/>
      <c r="BO6" s="10"/>
      <c r="BP6" s="11"/>
      <c r="BQ6" s="10"/>
      <c r="BR6" s="11"/>
      <c r="BS6" s="10"/>
      <c r="BU6" s="11"/>
      <c r="BV6" s="11"/>
      <c r="BW6" s="10"/>
      <c r="BY6" s="11"/>
      <c r="BZ6" s="10"/>
      <c r="CA6" s="11"/>
      <c r="CB6" s="10"/>
      <c r="CC6" s="11"/>
      <c r="CD6" s="10"/>
      <c r="CE6" s="11"/>
      <c r="CF6" s="10"/>
      <c r="CG6" s="11"/>
      <c r="CH6" s="10"/>
      <c r="CI6" s="11"/>
      <c r="CJ6" s="10"/>
      <c r="CK6" s="11"/>
      <c r="CL6" s="10"/>
      <c r="CN6" s="11"/>
      <c r="CO6" s="10"/>
      <c r="CP6" s="11"/>
      <c r="CQ6" s="10"/>
      <c r="CR6" s="18"/>
      <c r="CS6" s="11"/>
      <c r="CT6" s="10"/>
      <c r="CU6" s="11"/>
      <c r="CV6" s="10"/>
      <c r="CW6" s="11"/>
      <c r="CX6" s="10"/>
      <c r="CY6" s="11"/>
      <c r="CZ6" s="10"/>
      <c r="DA6" s="11"/>
      <c r="DB6" s="10"/>
      <c r="DC6" s="11"/>
      <c r="DD6" s="10"/>
      <c r="DE6" s="11"/>
      <c r="DG6" s="10"/>
      <c r="DH6" s="10"/>
      <c r="DI6" s="11"/>
      <c r="DJ6" s="10"/>
      <c r="DK6" s="11"/>
      <c r="DL6" s="11"/>
      <c r="DM6" s="10"/>
      <c r="DN6" s="10"/>
      <c r="DO6" s="10"/>
      <c r="DP6" s="10"/>
      <c r="DR6" s="11"/>
      <c r="DS6" s="20">
        <v>3</v>
      </c>
      <c r="DT6" s="20">
        <v>40</v>
      </c>
      <c r="DU6" s="20"/>
      <c r="DV6" s="20"/>
    </row>
    <row r="7" spans="1:128" x14ac:dyDescent="0.3">
      <c r="A7" s="10">
        <v>1</v>
      </c>
      <c r="B7" s="18">
        <v>0</v>
      </c>
      <c r="C7" s="18">
        <v>1</v>
      </c>
      <c r="D7" s="18">
        <v>0</v>
      </c>
      <c r="E7" s="35">
        <v>2000</v>
      </c>
      <c r="F7" s="10"/>
      <c r="G7" s="18"/>
      <c r="H7" s="18"/>
      <c r="I7" s="11"/>
      <c r="J7" s="10"/>
      <c r="K7" s="18"/>
      <c r="L7" s="18"/>
      <c r="M7" s="11"/>
      <c r="N7" s="10"/>
      <c r="O7" s="18"/>
      <c r="P7" s="18"/>
      <c r="Q7" s="30"/>
      <c r="R7" s="10"/>
      <c r="S7" s="18"/>
      <c r="T7" s="18"/>
      <c r="U7" s="31"/>
      <c r="V7" s="10"/>
      <c r="W7" s="18"/>
      <c r="X7" s="18"/>
      <c r="Y7" s="35"/>
      <c r="Z7" s="10"/>
      <c r="AB7" s="11"/>
      <c r="AC7" s="10"/>
      <c r="AD7" s="34"/>
      <c r="AE7" s="11"/>
      <c r="AF7" s="10"/>
      <c r="AG7" s="11"/>
      <c r="AH7" s="11"/>
      <c r="AI7" s="10"/>
      <c r="AK7" s="11"/>
      <c r="AL7" s="10"/>
      <c r="AN7" s="11"/>
      <c r="AO7" s="10"/>
      <c r="AQ7" s="11"/>
      <c r="AR7" s="10"/>
      <c r="AT7" s="11"/>
      <c r="AU7" s="11"/>
      <c r="AW7" s="11"/>
      <c r="AX7" s="11"/>
      <c r="AZ7" s="11"/>
      <c r="BA7" s="10"/>
      <c r="BB7" s="18"/>
      <c r="BD7" s="11"/>
      <c r="BE7" s="10"/>
      <c r="BG7" s="11"/>
      <c r="BH7" s="10"/>
      <c r="BI7" s="11"/>
      <c r="BJ7" s="12"/>
      <c r="BK7" s="10"/>
      <c r="BL7" s="11"/>
      <c r="BM7" s="10"/>
      <c r="BN7" s="11"/>
      <c r="BO7" s="10"/>
      <c r="BP7" s="11"/>
      <c r="BQ7" s="10"/>
      <c r="BR7" s="11"/>
      <c r="BS7" s="10"/>
      <c r="BU7" s="11"/>
      <c r="BV7" s="11"/>
      <c r="BW7" s="10"/>
      <c r="BY7" s="11"/>
      <c r="BZ7" s="10"/>
      <c r="CA7" s="11"/>
      <c r="CB7" s="10"/>
      <c r="CC7" s="11"/>
      <c r="CD7" s="10"/>
      <c r="CE7" s="11"/>
      <c r="CF7" s="10"/>
      <c r="CG7" s="11"/>
      <c r="CH7" s="10"/>
      <c r="CI7" s="11"/>
      <c r="CJ7" s="10"/>
      <c r="CK7" s="11"/>
      <c r="CL7" s="10"/>
      <c r="CM7" s="11"/>
      <c r="CN7" s="12"/>
      <c r="CO7" s="10"/>
      <c r="CP7" s="11"/>
      <c r="CQ7" s="10"/>
      <c r="CR7" s="18"/>
      <c r="CS7" s="11"/>
      <c r="CT7" s="10"/>
      <c r="CU7" s="11"/>
      <c r="CV7" s="10"/>
      <c r="CW7" s="11"/>
      <c r="CX7" s="10"/>
      <c r="CY7" s="11"/>
      <c r="CZ7" s="10"/>
      <c r="DA7" s="11"/>
      <c r="DB7" s="10"/>
      <c r="DC7" s="11"/>
      <c r="DD7" s="10"/>
      <c r="DE7" s="11"/>
      <c r="DG7" s="10"/>
      <c r="DH7" s="10"/>
      <c r="DI7" s="11"/>
      <c r="DJ7" s="10"/>
      <c r="DK7" s="11"/>
      <c r="DL7" s="11"/>
      <c r="DM7" s="10"/>
      <c r="DN7" s="10"/>
      <c r="DO7" s="10"/>
      <c r="DP7" s="10"/>
      <c r="DR7" s="11"/>
    </row>
    <row r="8" spans="1:128" x14ac:dyDescent="0.3">
      <c r="A8" s="10">
        <v>1</v>
      </c>
      <c r="B8" s="18">
        <v>0</v>
      </c>
      <c r="C8" s="18">
        <v>2</v>
      </c>
      <c r="D8" s="18">
        <v>0</v>
      </c>
      <c r="E8" s="35">
        <v>2000</v>
      </c>
      <c r="F8" s="10"/>
      <c r="G8" s="18"/>
      <c r="H8" s="18"/>
      <c r="I8" s="11"/>
      <c r="J8" s="10"/>
      <c r="K8" s="18"/>
      <c r="L8" s="18"/>
      <c r="M8" s="11"/>
      <c r="N8" s="10"/>
      <c r="O8" s="18"/>
      <c r="P8" s="18"/>
      <c r="Q8" s="30"/>
      <c r="R8" s="10"/>
      <c r="S8" s="18"/>
      <c r="T8" s="18"/>
      <c r="U8" s="31"/>
      <c r="V8" s="10"/>
      <c r="W8" s="18"/>
      <c r="X8" s="18"/>
      <c r="Y8" s="35"/>
      <c r="Z8" s="10"/>
      <c r="AB8" s="11"/>
      <c r="AC8" s="10"/>
      <c r="AD8" s="14"/>
      <c r="AE8" s="11"/>
      <c r="AF8" s="10"/>
      <c r="AG8" s="11"/>
      <c r="AH8" s="11"/>
      <c r="AI8" s="10"/>
      <c r="AK8" s="11"/>
      <c r="AL8" s="10"/>
      <c r="AN8" s="11"/>
      <c r="AO8" s="10"/>
      <c r="AQ8" s="11"/>
      <c r="AR8" s="10"/>
      <c r="AT8" s="11"/>
      <c r="AU8" s="11"/>
      <c r="AW8" s="11"/>
      <c r="AX8" s="11"/>
      <c r="AZ8" s="11"/>
      <c r="BA8" s="10"/>
      <c r="BB8" s="18"/>
      <c r="BD8" s="11"/>
      <c r="BE8" s="10"/>
      <c r="BG8" s="11"/>
      <c r="BH8" s="10"/>
      <c r="BI8" s="11"/>
      <c r="BJ8" s="12"/>
      <c r="BK8" s="10"/>
      <c r="BL8" s="11"/>
      <c r="BM8" s="10"/>
      <c r="BN8" s="11"/>
      <c r="BO8" s="10"/>
      <c r="BP8" s="11"/>
      <c r="BQ8" s="10"/>
      <c r="BR8" s="11"/>
      <c r="BS8" s="10"/>
      <c r="BU8" s="11"/>
      <c r="BV8" s="11"/>
      <c r="BW8" s="10"/>
      <c r="BY8" s="11"/>
      <c r="BZ8" s="10"/>
      <c r="CA8" s="11"/>
      <c r="CB8" s="10"/>
      <c r="CC8" s="11"/>
      <c r="CD8" s="10"/>
      <c r="CE8" s="11"/>
      <c r="CF8" s="10"/>
      <c r="CG8" s="11"/>
      <c r="CH8" s="10"/>
      <c r="CI8" s="11"/>
      <c r="CJ8" s="10"/>
      <c r="CK8" s="11"/>
      <c r="CL8" s="10"/>
      <c r="CM8" s="11"/>
      <c r="CN8" s="12"/>
      <c r="CO8" s="10"/>
      <c r="CP8" s="11"/>
      <c r="CQ8" s="10"/>
      <c r="CR8" s="18"/>
      <c r="CS8" s="11"/>
      <c r="CT8" s="10"/>
      <c r="CU8" s="11"/>
      <c r="CV8" s="10"/>
      <c r="CW8" s="11"/>
      <c r="CX8" s="10"/>
      <c r="CY8" s="11"/>
      <c r="CZ8" s="10"/>
      <c r="DA8" s="11"/>
      <c r="DB8" s="10"/>
      <c r="DC8" s="11"/>
      <c r="DD8" s="10"/>
      <c r="DE8" s="11"/>
      <c r="DG8" s="10"/>
      <c r="DH8" s="10"/>
      <c r="DI8" s="11"/>
      <c r="DJ8" s="10"/>
      <c r="DK8" s="11"/>
      <c r="DL8" s="11"/>
      <c r="DM8" s="10"/>
      <c r="DN8" s="10"/>
      <c r="DO8" s="10"/>
      <c r="DP8" s="10"/>
      <c r="DR8" s="11"/>
    </row>
    <row r="9" spans="1:128" x14ac:dyDescent="0.3">
      <c r="A9" s="10"/>
      <c r="B9" s="18"/>
      <c r="C9" s="18"/>
      <c r="D9" s="18"/>
      <c r="E9" s="11"/>
      <c r="F9" s="10"/>
      <c r="G9" s="18"/>
      <c r="H9" s="18"/>
      <c r="I9" s="11"/>
      <c r="J9" s="10"/>
      <c r="K9" s="18"/>
      <c r="L9" s="18"/>
      <c r="M9" s="11"/>
      <c r="N9" s="10"/>
      <c r="O9" s="18"/>
      <c r="P9" s="18"/>
      <c r="Q9" s="30"/>
      <c r="R9" s="10"/>
      <c r="S9" s="18"/>
      <c r="T9" s="18"/>
      <c r="U9" s="31"/>
      <c r="V9" s="10"/>
      <c r="W9" s="18"/>
      <c r="X9" s="18"/>
      <c r="Y9" s="35"/>
      <c r="Z9" s="10"/>
      <c r="AB9" s="11"/>
      <c r="AC9" s="10"/>
      <c r="AD9" s="14"/>
      <c r="AE9" s="11"/>
      <c r="AF9" s="10"/>
      <c r="AG9" s="11"/>
      <c r="AH9" s="11"/>
      <c r="AI9" s="10"/>
      <c r="AK9" s="11"/>
      <c r="AL9" s="10"/>
      <c r="AN9" s="11"/>
      <c r="AO9" s="10"/>
      <c r="AQ9" s="11"/>
      <c r="AR9" s="10"/>
      <c r="AT9" s="11"/>
      <c r="AU9" s="11"/>
      <c r="AW9" s="11"/>
      <c r="AX9" s="11"/>
      <c r="AZ9" s="11"/>
      <c r="BA9" s="10"/>
      <c r="BB9" s="18"/>
      <c r="BD9" s="11"/>
      <c r="BE9" s="10"/>
      <c r="BG9" s="11"/>
      <c r="BH9" s="10"/>
      <c r="BI9" s="11"/>
      <c r="BJ9" s="12"/>
      <c r="BK9" s="10"/>
      <c r="BL9" s="11"/>
      <c r="BM9" s="10"/>
      <c r="BN9" s="11"/>
      <c r="BO9" s="10"/>
      <c r="BP9" s="11"/>
      <c r="BQ9" s="10"/>
      <c r="BR9" s="11"/>
      <c r="BS9" s="10"/>
      <c r="BU9" s="11"/>
      <c r="BV9" s="11"/>
      <c r="BW9" s="10"/>
      <c r="BY9" s="11"/>
      <c r="BZ9" s="10"/>
      <c r="CA9" s="11"/>
      <c r="CB9" s="10"/>
      <c r="CC9" s="11"/>
      <c r="CD9" s="10"/>
      <c r="CE9" s="11"/>
      <c r="CF9" s="10"/>
      <c r="CG9" s="11"/>
      <c r="CH9" s="10"/>
      <c r="CI9" s="11"/>
      <c r="CJ9" s="10"/>
      <c r="CK9" s="11"/>
      <c r="CL9" s="10"/>
      <c r="CM9" s="11"/>
      <c r="CN9" s="12"/>
      <c r="CO9" s="10"/>
      <c r="CP9" s="11"/>
      <c r="CQ9" s="10"/>
      <c r="CR9" s="18"/>
      <c r="CS9" s="11"/>
      <c r="CT9" s="10"/>
      <c r="CU9" s="11"/>
      <c r="CV9" s="10"/>
      <c r="CW9" s="11"/>
      <c r="CX9" s="10"/>
      <c r="CY9" s="11"/>
      <c r="CZ9" s="10"/>
      <c r="DA9" s="11"/>
      <c r="DB9" s="10"/>
      <c r="DC9" s="11"/>
      <c r="DD9" s="10"/>
      <c r="DE9" s="11"/>
      <c r="DG9" s="10"/>
      <c r="DH9" s="10"/>
      <c r="DI9" s="11"/>
      <c r="DJ9" s="10"/>
      <c r="DK9" s="11"/>
      <c r="DL9" s="11"/>
      <c r="DM9" s="10"/>
      <c r="DN9" s="10"/>
      <c r="DO9" s="10"/>
      <c r="DP9" s="10"/>
      <c r="DR9" s="11"/>
    </row>
    <row r="10" spans="1:128" x14ac:dyDescent="0.3">
      <c r="A10" s="10"/>
      <c r="B10" s="18"/>
      <c r="C10" s="18"/>
      <c r="D10" s="18"/>
      <c r="E10" s="11"/>
      <c r="F10" s="10"/>
      <c r="G10" s="18"/>
      <c r="H10" s="18"/>
      <c r="I10" s="11"/>
      <c r="J10" s="10"/>
      <c r="K10" s="18"/>
      <c r="L10" s="18"/>
      <c r="M10" s="11"/>
      <c r="N10" s="10"/>
      <c r="O10" s="18"/>
      <c r="P10" s="18"/>
      <c r="Q10" s="30"/>
      <c r="R10" s="10"/>
      <c r="S10" s="18"/>
      <c r="T10" s="18"/>
      <c r="U10" s="31"/>
      <c r="V10" s="10"/>
      <c r="W10" s="18"/>
      <c r="X10" s="18"/>
      <c r="Y10" s="35"/>
      <c r="Z10" s="10"/>
      <c r="AB10" s="11"/>
      <c r="AC10" s="10"/>
      <c r="AD10" s="14"/>
      <c r="AE10" s="11"/>
      <c r="AF10" s="10"/>
      <c r="AG10" s="11"/>
      <c r="AH10" s="11"/>
      <c r="AI10" s="10"/>
      <c r="AK10" s="11"/>
      <c r="AL10" s="10"/>
      <c r="AN10" s="11"/>
      <c r="AO10" s="10"/>
      <c r="AQ10" s="11"/>
      <c r="AR10" s="10"/>
      <c r="AT10" s="11"/>
      <c r="AU10" s="11"/>
      <c r="AW10" s="11"/>
      <c r="AX10" s="11"/>
      <c r="AZ10" s="11"/>
      <c r="BA10" s="10"/>
      <c r="BB10" s="18"/>
      <c r="BD10" s="11"/>
      <c r="BE10" s="10"/>
      <c r="BG10" s="11"/>
      <c r="BH10" s="10"/>
      <c r="BI10" s="11"/>
      <c r="BJ10" s="12"/>
      <c r="BK10" s="10"/>
      <c r="BL10" s="11"/>
      <c r="BM10" s="10"/>
      <c r="BN10" s="11"/>
      <c r="BO10" s="10"/>
      <c r="BP10" s="11"/>
      <c r="BQ10" s="10"/>
      <c r="BR10" s="11"/>
      <c r="BS10" s="10"/>
      <c r="BU10" s="11"/>
      <c r="BV10" s="11"/>
      <c r="BW10" s="10"/>
      <c r="BY10" s="11"/>
      <c r="BZ10" s="10"/>
      <c r="CA10" s="11"/>
      <c r="CB10" s="10"/>
      <c r="CC10" s="11"/>
      <c r="CD10" s="10"/>
      <c r="CE10" s="11"/>
      <c r="CF10" s="10"/>
      <c r="CG10" s="11"/>
      <c r="CH10" s="10"/>
      <c r="CI10" s="11"/>
      <c r="CJ10" s="10"/>
      <c r="CK10" s="11"/>
      <c r="CL10" s="10"/>
      <c r="CM10" s="11"/>
      <c r="CN10" s="12"/>
      <c r="CO10" s="10"/>
      <c r="CP10" s="11"/>
      <c r="CQ10" s="10"/>
      <c r="CR10" s="18"/>
      <c r="CS10" s="11"/>
      <c r="CT10" s="10"/>
      <c r="CU10" s="11"/>
      <c r="CV10" s="10"/>
      <c r="CW10" s="11"/>
      <c r="CX10" s="10"/>
      <c r="CY10" s="11"/>
      <c r="CZ10" s="10"/>
      <c r="DA10" s="11"/>
      <c r="DB10" s="10"/>
      <c r="DC10" s="11"/>
      <c r="DD10" s="10"/>
      <c r="DE10" s="11"/>
      <c r="DG10" s="10"/>
      <c r="DH10" s="10"/>
      <c r="DI10" s="11"/>
      <c r="DJ10" s="10"/>
      <c r="DK10" s="11"/>
      <c r="DL10" s="11"/>
      <c r="DM10" s="10"/>
      <c r="DN10" s="10"/>
      <c r="DO10" s="10"/>
      <c r="DP10" s="10"/>
      <c r="DR10" s="11"/>
    </row>
    <row r="11" spans="1:128" x14ac:dyDescent="0.3">
      <c r="A11" s="10"/>
      <c r="B11" s="18"/>
      <c r="C11" s="18"/>
      <c r="D11" s="18"/>
      <c r="E11" s="11"/>
      <c r="F11" s="10"/>
      <c r="G11" s="18"/>
      <c r="H11" s="18"/>
      <c r="I11" s="11"/>
      <c r="J11" s="10"/>
      <c r="K11" s="18"/>
      <c r="L11" s="18"/>
      <c r="M11" s="11"/>
      <c r="N11" s="10"/>
      <c r="O11" s="18"/>
      <c r="P11" s="18"/>
      <c r="Q11" s="30"/>
      <c r="R11" s="10"/>
      <c r="S11" s="18"/>
      <c r="T11" s="18"/>
      <c r="U11" s="32"/>
      <c r="V11" s="10"/>
      <c r="W11" s="18"/>
      <c r="X11" s="18"/>
      <c r="Y11" s="35"/>
      <c r="Z11" s="10"/>
      <c r="AB11" s="11"/>
      <c r="AC11" s="10"/>
      <c r="AD11" s="14"/>
      <c r="AE11" s="11"/>
      <c r="AF11" s="10"/>
      <c r="AG11" s="11"/>
      <c r="AH11" s="11"/>
      <c r="AI11" s="10"/>
      <c r="AK11" s="11"/>
      <c r="AL11" s="10"/>
      <c r="AN11" s="11"/>
      <c r="AO11" s="10"/>
      <c r="AQ11" s="11"/>
      <c r="AR11" s="10"/>
      <c r="AT11" s="11"/>
      <c r="AU11" s="11"/>
      <c r="AW11" s="11"/>
      <c r="AX11" s="11"/>
      <c r="AZ11" s="11"/>
      <c r="BA11" s="10"/>
      <c r="BB11" s="18"/>
      <c r="BD11" s="11"/>
      <c r="BE11" s="10"/>
      <c r="BG11" s="11"/>
      <c r="BH11" s="10"/>
      <c r="BI11" s="11"/>
      <c r="BJ11" s="12"/>
      <c r="BK11" s="10"/>
      <c r="BL11" s="11"/>
      <c r="BM11" s="10"/>
      <c r="BN11" s="11"/>
      <c r="BO11" s="10"/>
      <c r="BP11" s="11"/>
      <c r="BQ11" s="10"/>
      <c r="BR11" s="11"/>
      <c r="BS11" s="10"/>
      <c r="BU11" s="11"/>
      <c r="BV11" s="11"/>
      <c r="BW11" s="10"/>
      <c r="BY11" s="11"/>
      <c r="BZ11" s="10"/>
      <c r="CA11" s="11"/>
      <c r="CB11" s="10"/>
      <c r="CC11" s="11"/>
      <c r="CD11" s="10"/>
      <c r="CE11" s="11"/>
      <c r="CF11" s="10"/>
      <c r="CG11" s="11"/>
      <c r="CH11" s="10"/>
      <c r="CI11" s="11"/>
      <c r="CJ11" s="10"/>
      <c r="CK11" s="11"/>
      <c r="CL11" s="10"/>
      <c r="CM11" s="11"/>
      <c r="CN11" s="12"/>
      <c r="CO11" s="10"/>
      <c r="CP11" s="11"/>
      <c r="CQ11" s="10"/>
      <c r="CR11" s="18"/>
      <c r="CS11" s="11"/>
      <c r="CT11" s="10"/>
      <c r="CU11" s="11"/>
      <c r="CV11" s="10"/>
      <c r="CW11" s="11"/>
      <c r="CX11" s="10"/>
      <c r="CY11" s="11"/>
      <c r="CZ11" s="10"/>
      <c r="DA11" s="11"/>
      <c r="DB11" s="10"/>
      <c r="DC11" s="11"/>
      <c r="DD11" s="10"/>
      <c r="DE11" s="11"/>
      <c r="DG11" s="10"/>
      <c r="DH11" s="10"/>
      <c r="DI11" s="11"/>
      <c r="DJ11" s="10"/>
      <c r="DK11" s="11"/>
      <c r="DL11" s="11"/>
      <c r="DM11" s="10"/>
      <c r="DN11" s="10"/>
      <c r="DO11" s="10"/>
      <c r="DP11" s="10"/>
      <c r="DR11" s="11"/>
    </row>
    <row r="12" spans="1:128" x14ac:dyDescent="0.3">
      <c r="A12" s="10"/>
      <c r="B12" s="18"/>
      <c r="C12" s="18"/>
      <c r="D12" s="18"/>
      <c r="E12" s="11"/>
      <c r="F12" s="10"/>
      <c r="G12" s="18"/>
      <c r="H12" s="18"/>
      <c r="I12" s="11"/>
      <c r="J12" s="10"/>
      <c r="K12" s="18"/>
      <c r="L12" s="18"/>
      <c r="M12" s="11"/>
      <c r="N12" s="10"/>
      <c r="O12" s="18"/>
      <c r="P12" s="18"/>
      <c r="Q12" s="30"/>
      <c r="R12" s="10"/>
      <c r="S12" s="18"/>
      <c r="T12" s="18"/>
      <c r="U12" s="32"/>
      <c r="V12" s="10"/>
      <c r="W12" s="18"/>
      <c r="X12" s="18"/>
      <c r="Y12" s="35"/>
      <c r="Z12" s="10"/>
      <c r="AB12" s="11"/>
      <c r="AC12" s="10"/>
      <c r="AD12" s="34"/>
      <c r="AE12" s="11"/>
      <c r="AF12" s="10"/>
      <c r="AG12" s="11"/>
      <c r="AH12" s="11"/>
      <c r="AI12" s="10"/>
      <c r="AK12" s="11"/>
      <c r="AL12" s="10"/>
      <c r="AN12" s="11"/>
      <c r="AO12" s="10"/>
      <c r="AQ12" s="11"/>
      <c r="AR12" s="10"/>
      <c r="AT12" s="11"/>
      <c r="AU12" s="11"/>
      <c r="AW12" s="11"/>
      <c r="AX12" s="11"/>
      <c r="AZ12" s="11"/>
      <c r="BA12" s="10"/>
      <c r="BB12" s="18"/>
      <c r="BD12" s="11"/>
      <c r="BE12" s="10"/>
      <c r="BG12" s="11"/>
      <c r="BH12" s="10"/>
      <c r="BI12" s="11"/>
      <c r="BJ12" s="12"/>
      <c r="BK12" s="10"/>
      <c r="BL12" s="11"/>
      <c r="BM12" s="10"/>
      <c r="BN12" s="11"/>
      <c r="BO12" s="10"/>
      <c r="BP12" s="11"/>
      <c r="BQ12" s="10"/>
      <c r="BR12" s="11"/>
      <c r="BS12" s="10"/>
      <c r="BU12" s="11"/>
      <c r="BV12" s="11"/>
      <c r="BW12" s="10"/>
      <c r="BY12" s="11"/>
      <c r="BZ12" s="10"/>
      <c r="CA12" s="11"/>
      <c r="CB12" s="10"/>
      <c r="CC12" s="11"/>
      <c r="CD12" s="10"/>
      <c r="CE12" s="11"/>
      <c r="CF12" s="10"/>
      <c r="CG12" s="11"/>
      <c r="CH12" s="10"/>
      <c r="CI12" s="11"/>
      <c r="CJ12" s="10"/>
      <c r="CK12" s="11"/>
      <c r="CL12" s="10"/>
      <c r="CM12" s="11"/>
      <c r="CN12" s="12"/>
      <c r="CO12" s="10"/>
      <c r="CP12" s="11"/>
      <c r="CQ12" s="10"/>
      <c r="CR12" s="18"/>
      <c r="CS12" s="11"/>
      <c r="CT12" s="10"/>
      <c r="CU12" s="11"/>
      <c r="CV12" s="10"/>
      <c r="CW12" s="11"/>
      <c r="CX12" s="10"/>
      <c r="CY12" s="11"/>
      <c r="CZ12" s="10"/>
      <c r="DA12" s="11"/>
      <c r="DB12" s="10"/>
      <c r="DC12" s="11"/>
      <c r="DD12" s="10"/>
      <c r="DE12" s="11"/>
      <c r="DG12" s="10"/>
      <c r="DH12" s="10"/>
      <c r="DI12" s="11"/>
      <c r="DJ12" s="10"/>
      <c r="DK12" s="11"/>
      <c r="DL12" s="11"/>
      <c r="DM12" s="10"/>
      <c r="DN12" s="10"/>
      <c r="DO12" s="10"/>
      <c r="DP12" s="10"/>
      <c r="DR12" s="11"/>
    </row>
    <row r="13" spans="1:128" x14ac:dyDescent="0.3">
      <c r="A13" s="10"/>
      <c r="B13" s="18"/>
      <c r="C13" s="18"/>
      <c r="D13" s="18"/>
      <c r="E13" s="11"/>
      <c r="F13" s="10"/>
      <c r="G13" s="18"/>
      <c r="H13" s="18"/>
      <c r="I13" s="11"/>
      <c r="J13" s="10"/>
      <c r="K13" s="18"/>
      <c r="L13" s="18"/>
      <c r="M13" s="11"/>
      <c r="N13" s="10"/>
      <c r="O13" s="18"/>
      <c r="P13" s="18"/>
      <c r="Q13" s="30"/>
      <c r="R13" s="10"/>
      <c r="S13" s="18"/>
      <c r="T13" s="18"/>
      <c r="U13" s="32"/>
      <c r="V13" s="10"/>
      <c r="W13" s="18"/>
      <c r="X13" s="18"/>
      <c r="Y13" s="35"/>
      <c r="Z13" s="10"/>
      <c r="AB13" s="11"/>
      <c r="AC13" s="10"/>
      <c r="AD13" s="14"/>
      <c r="AE13" s="11"/>
      <c r="AF13" s="10"/>
      <c r="AH13" s="11"/>
      <c r="AI13" s="10"/>
      <c r="AK13" s="11"/>
      <c r="AL13" s="10"/>
      <c r="AN13" s="11"/>
      <c r="AO13" s="10"/>
      <c r="AQ13" s="11"/>
      <c r="AR13" s="10"/>
      <c r="AT13" s="11"/>
      <c r="AU13" s="11"/>
      <c r="AW13" s="11"/>
      <c r="AX13" s="11"/>
      <c r="AZ13" s="11"/>
      <c r="BA13" s="10"/>
      <c r="BB13" s="18"/>
      <c r="BC13" s="11"/>
      <c r="BD13" s="12"/>
      <c r="BE13" s="10"/>
      <c r="BF13" s="11"/>
      <c r="BG13" s="12"/>
      <c r="BH13" s="10"/>
      <c r="BI13" s="11"/>
      <c r="BJ13" s="12"/>
      <c r="BK13" s="10"/>
      <c r="BL13" s="11"/>
      <c r="BM13" s="10"/>
      <c r="BN13" s="11"/>
      <c r="BO13" s="10"/>
      <c r="BP13" s="11"/>
      <c r="BQ13" s="10"/>
      <c r="BR13" s="11"/>
      <c r="BS13" s="10"/>
      <c r="BU13" s="11"/>
      <c r="BV13" s="11"/>
      <c r="BW13" s="10"/>
      <c r="BY13" s="11"/>
      <c r="BZ13" s="10"/>
      <c r="CA13" s="11"/>
      <c r="CB13" s="10"/>
      <c r="CC13" s="11"/>
      <c r="CD13" s="10"/>
      <c r="CE13" s="11"/>
      <c r="CF13" s="10"/>
      <c r="CG13" s="11"/>
      <c r="CH13" s="10"/>
      <c r="CI13" s="11"/>
      <c r="CJ13" s="10"/>
      <c r="CK13" s="11"/>
      <c r="CL13" s="10"/>
      <c r="CM13" s="11"/>
      <c r="CN13" s="12"/>
      <c r="CO13" s="10"/>
      <c r="CP13" s="11"/>
      <c r="CQ13" s="10"/>
      <c r="CR13" s="18"/>
      <c r="CS13" s="11"/>
      <c r="CT13" s="10"/>
      <c r="CU13" s="11"/>
      <c r="CV13" s="10"/>
      <c r="CW13" s="11"/>
      <c r="CX13" s="10"/>
      <c r="CY13" s="11"/>
      <c r="CZ13" s="10"/>
      <c r="DA13" s="11"/>
      <c r="DB13" s="10"/>
      <c r="DC13" s="11"/>
      <c r="DD13" s="10"/>
      <c r="DE13" s="11"/>
      <c r="DG13" s="10"/>
      <c r="DH13" s="10"/>
      <c r="DI13" s="11"/>
      <c r="DJ13" s="10"/>
      <c r="DK13" s="11"/>
      <c r="DL13" s="11"/>
      <c r="DM13" s="10"/>
      <c r="DN13" s="10"/>
      <c r="DO13" s="10"/>
      <c r="DP13" s="10"/>
      <c r="DR13" s="11"/>
    </row>
    <row r="14" spans="1:128" x14ac:dyDescent="0.3">
      <c r="A14" s="10"/>
      <c r="B14" s="18"/>
      <c r="C14" s="18"/>
      <c r="D14" s="18"/>
      <c r="E14" s="11"/>
      <c r="F14" s="10"/>
      <c r="G14" s="18"/>
      <c r="H14" s="18"/>
      <c r="I14" s="11"/>
      <c r="J14" s="10"/>
      <c r="K14" s="18"/>
      <c r="L14" s="18"/>
      <c r="M14" s="11"/>
      <c r="N14" s="10"/>
      <c r="O14" s="18"/>
      <c r="P14" s="18"/>
      <c r="Q14" s="30"/>
      <c r="R14" s="10"/>
      <c r="S14" s="18"/>
      <c r="T14" s="18"/>
      <c r="U14" s="32"/>
      <c r="V14" s="10"/>
      <c r="W14" s="18"/>
      <c r="X14" s="18"/>
      <c r="Y14" s="35"/>
      <c r="Z14" s="10"/>
      <c r="AB14" s="11"/>
      <c r="AC14" s="10"/>
      <c r="AD14" s="14"/>
      <c r="AE14" s="11"/>
      <c r="AF14" s="10"/>
      <c r="AH14" s="11"/>
      <c r="AI14" s="10"/>
      <c r="AK14" s="11"/>
      <c r="AL14" s="10"/>
      <c r="AN14" s="11"/>
      <c r="AO14" s="10"/>
      <c r="AQ14" s="11"/>
      <c r="AR14" s="10"/>
      <c r="AT14" s="11"/>
      <c r="AU14" s="11"/>
      <c r="AW14" s="11"/>
      <c r="AX14" s="11"/>
      <c r="AZ14" s="11"/>
      <c r="BA14" s="10"/>
      <c r="BB14" s="18"/>
      <c r="BC14" s="11"/>
      <c r="BD14" s="12"/>
      <c r="BE14" s="10"/>
      <c r="BF14" s="11"/>
      <c r="BG14" s="12"/>
      <c r="BH14" s="10"/>
      <c r="BI14" s="11"/>
      <c r="BJ14" s="12"/>
      <c r="BK14" s="10"/>
      <c r="BL14" s="11"/>
      <c r="BM14" s="10"/>
      <c r="BN14" s="11"/>
      <c r="BO14" s="10"/>
      <c r="BP14" s="11"/>
      <c r="BQ14" s="10"/>
      <c r="BR14" s="11"/>
      <c r="BS14" s="10"/>
      <c r="BU14" s="11"/>
      <c r="BV14" s="11"/>
      <c r="BW14" s="10"/>
      <c r="BY14" s="11"/>
      <c r="BZ14" s="10"/>
      <c r="CA14" s="11"/>
      <c r="CB14" s="10"/>
      <c r="CC14" s="11"/>
      <c r="CD14" s="10"/>
      <c r="CE14" s="11"/>
      <c r="CF14" s="10"/>
      <c r="CG14" s="11"/>
      <c r="CH14" s="10"/>
      <c r="CI14" s="11"/>
      <c r="CJ14" s="10"/>
      <c r="CK14" s="11"/>
      <c r="CL14" s="10"/>
      <c r="CM14" s="11"/>
      <c r="CN14" s="12"/>
      <c r="CO14" s="10"/>
      <c r="CP14" s="11"/>
      <c r="CQ14" s="10"/>
      <c r="CR14" s="18"/>
      <c r="CS14" s="11"/>
      <c r="CT14" s="10"/>
      <c r="CU14" s="11"/>
      <c r="CV14" s="10"/>
      <c r="CW14" s="11"/>
      <c r="CX14" s="10"/>
      <c r="CY14" s="11"/>
      <c r="CZ14" s="10"/>
      <c r="DA14" s="11"/>
      <c r="DB14" s="10"/>
      <c r="DC14" s="11"/>
      <c r="DD14" s="10"/>
      <c r="DE14" s="11"/>
      <c r="DG14" s="10"/>
      <c r="DH14" s="10"/>
      <c r="DI14" s="11"/>
      <c r="DJ14" s="10"/>
      <c r="DK14" s="11"/>
      <c r="DL14" s="11"/>
      <c r="DM14" s="10"/>
      <c r="DN14" s="10"/>
      <c r="DO14" s="10"/>
      <c r="DP14" s="10"/>
      <c r="DR14" s="11"/>
    </row>
    <row r="15" spans="1:128" x14ac:dyDescent="0.3">
      <c r="A15" s="10"/>
      <c r="B15" s="18"/>
      <c r="C15" s="18"/>
      <c r="D15" s="18"/>
      <c r="E15" s="11"/>
      <c r="F15" s="10"/>
      <c r="G15" s="18"/>
      <c r="H15" s="18"/>
      <c r="I15" s="11"/>
      <c r="J15" s="10"/>
      <c r="K15" s="18"/>
      <c r="L15" s="18"/>
      <c r="M15" s="11"/>
      <c r="N15" s="10"/>
      <c r="O15" s="18"/>
      <c r="P15" s="18"/>
      <c r="Q15" s="30"/>
      <c r="R15" s="10"/>
      <c r="S15" s="18"/>
      <c r="T15" s="18"/>
      <c r="U15" s="32"/>
      <c r="V15" s="10"/>
      <c r="W15" s="18"/>
      <c r="X15" s="18"/>
      <c r="Y15" s="35"/>
      <c r="Z15" s="10"/>
      <c r="AA15" s="11"/>
      <c r="AB15" s="12"/>
      <c r="AC15" s="10"/>
      <c r="AD15" s="14"/>
      <c r="AE15" s="11"/>
      <c r="AF15" s="10"/>
      <c r="AH15" s="11"/>
      <c r="AI15" s="10"/>
      <c r="AK15" s="11"/>
      <c r="AL15" s="10"/>
      <c r="AN15" s="11"/>
      <c r="AO15" s="10"/>
      <c r="AQ15" s="11"/>
      <c r="AR15" s="10"/>
      <c r="AS15" s="11"/>
      <c r="AT15" s="12"/>
      <c r="AU15" s="11"/>
      <c r="AW15" s="11"/>
      <c r="AX15" s="11"/>
      <c r="AZ15" s="11"/>
      <c r="BA15" s="10"/>
      <c r="BB15" s="18"/>
      <c r="BC15" s="11"/>
      <c r="BD15" s="12"/>
      <c r="BE15" s="10"/>
      <c r="BF15" s="11"/>
      <c r="BG15" s="12"/>
      <c r="BH15" s="10"/>
      <c r="BI15" s="11"/>
      <c r="BJ15" s="12"/>
      <c r="BK15" s="10"/>
      <c r="BL15" s="11"/>
      <c r="BM15" s="10"/>
      <c r="BN15" s="11"/>
      <c r="BO15" s="10"/>
      <c r="BP15" s="11"/>
      <c r="BQ15" s="10"/>
      <c r="BR15" s="11"/>
      <c r="BS15" s="10"/>
      <c r="BU15" s="11"/>
      <c r="BV15" s="11"/>
      <c r="BW15" s="10"/>
      <c r="BY15" s="11"/>
      <c r="BZ15" s="10"/>
      <c r="CA15" s="11"/>
      <c r="CB15" s="10"/>
      <c r="CC15" s="11"/>
      <c r="CD15" s="10"/>
      <c r="CE15" s="11"/>
      <c r="CF15" s="10"/>
      <c r="CG15" s="11"/>
      <c r="CH15" s="10"/>
      <c r="CI15" s="11"/>
      <c r="CJ15" s="10"/>
      <c r="CK15" s="11"/>
      <c r="CL15" s="10"/>
      <c r="CM15" s="11"/>
      <c r="CN15" s="12"/>
      <c r="CO15" s="10"/>
      <c r="CP15" s="11"/>
      <c r="CQ15" s="10"/>
      <c r="CR15" s="18"/>
      <c r="CS15" s="11"/>
      <c r="CT15" s="10"/>
      <c r="CU15" s="11"/>
      <c r="CV15" s="10"/>
      <c r="CW15" s="11"/>
      <c r="CX15" s="10"/>
      <c r="CY15" s="11"/>
      <c r="CZ15" s="10"/>
      <c r="DA15" s="11"/>
      <c r="DB15" s="10"/>
      <c r="DC15" s="11"/>
      <c r="DD15" s="10"/>
      <c r="DE15" s="11"/>
      <c r="DG15" s="10"/>
      <c r="DH15" s="10"/>
      <c r="DI15" s="11"/>
      <c r="DJ15" s="10"/>
      <c r="DK15" s="11"/>
      <c r="DL15" s="11"/>
      <c r="DM15" s="10"/>
      <c r="DN15" s="10"/>
      <c r="DO15" s="10"/>
      <c r="DP15" s="10"/>
      <c r="DR15" s="11"/>
    </row>
    <row r="16" spans="1:128" x14ac:dyDescent="0.3">
      <c r="A16" s="10"/>
      <c r="B16" s="18"/>
      <c r="C16" s="18"/>
      <c r="D16" s="18"/>
      <c r="E16" s="11"/>
      <c r="F16" s="10"/>
      <c r="G16" s="18"/>
      <c r="H16" s="18"/>
      <c r="I16" s="11"/>
      <c r="J16" s="10"/>
      <c r="K16" s="18"/>
      <c r="L16" s="18"/>
      <c r="M16" s="11"/>
      <c r="N16" s="10"/>
      <c r="O16" s="18"/>
      <c r="P16" s="18"/>
      <c r="Q16" s="30"/>
      <c r="R16" s="10"/>
      <c r="S16" s="18"/>
      <c r="T16" s="18"/>
      <c r="U16" s="32"/>
      <c r="V16" s="10"/>
      <c r="W16" s="18"/>
      <c r="X16" s="18"/>
      <c r="Y16" s="35"/>
      <c r="Z16" s="10"/>
      <c r="AA16" s="11"/>
      <c r="AB16" s="12"/>
      <c r="AC16" s="10"/>
      <c r="AD16" s="14"/>
      <c r="AE16" s="11"/>
      <c r="AF16" s="10"/>
      <c r="AH16" s="11"/>
      <c r="AI16" s="10"/>
      <c r="AK16" s="11"/>
      <c r="AL16" s="10"/>
      <c r="AN16" s="11"/>
      <c r="AO16" s="10"/>
      <c r="AQ16" s="11"/>
      <c r="AR16" s="10"/>
      <c r="AS16" s="11"/>
      <c r="AT16" s="12"/>
      <c r="AU16" s="11"/>
      <c r="AW16" s="11"/>
      <c r="AX16" s="11"/>
      <c r="AZ16" s="11"/>
      <c r="BA16" s="10"/>
      <c r="BB16" s="18"/>
      <c r="BC16" s="11"/>
      <c r="BD16" s="12"/>
      <c r="BE16" s="10"/>
      <c r="BF16" s="11"/>
      <c r="BG16" s="12"/>
      <c r="BH16" s="10"/>
      <c r="BI16" s="11"/>
      <c r="BJ16" s="12"/>
      <c r="BK16" s="10"/>
      <c r="BL16" s="11"/>
      <c r="BM16" s="10"/>
      <c r="BN16" s="11"/>
      <c r="BO16" s="10"/>
      <c r="BP16" s="11"/>
      <c r="BQ16" s="10"/>
      <c r="BR16" s="11"/>
      <c r="BS16" s="10"/>
      <c r="BU16" s="11"/>
      <c r="BV16" s="11"/>
      <c r="BW16" s="10"/>
      <c r="BY16" s="11"/>
      <c r="BZ16" s="10"/>
      <c r="CA16" s="11"/>
      <c r="CB16" s="10"/>
      <c r="CC16" s="11"/>
      <c r="CD16" s="10"/>
      <c r="CE16" s="11"/>
      <c r="CF16" s="10"/>
      <c r="CG16" s="11"/>
      <c r="CH16" s="10"/>
      <c r="CI16" s="11"/>
      <c r="CJ16" s="10"/>
      <c r="CK16" s="11"/>
      <c r="CL16" s="10"/>
      <c r="CM16" s="11"/>
      <c r="CN16" s="12"/>
      <c r="CO16" s="10"/>
      <c r="CP16" s="11"/>
      <c r="CQ16" s="10"/>
      <c r="CR16" s="18"/>
      <c r="CS16" s="11"/>
      <c r="CT16" s="10"/>
      <c r="CU16" s="11"/>
      <c r="CV16" s="10"/>
      <c r="CW16" s="11"/>
      <c r="CX16" s="10"/>
      <c r="CY16" s="11"/>
      <c r="CZ16" s="10"/>
      <c r="DA16" s="11"/>
      <c r="DB16" s="10"/>
      <c r="DC16" s="11"/>
      <c r="DD16" s="10"/>
      <c r="DE16" s="11"/>
      <c r="DG16" s="10"/>
      <c r="DH16" s="10"/>
      <c r="DI16" s="11"/>
      <c r="DJ16" s="10"/>
      <c r="DK16" s="11"/>
      <c r="DL16" s="11"/>
      <c r="DM16" s="10"/>
      <c r="DN16" s="10"/>
      <c r="DO16" s="10"/>
      <c r="DP16" s="10"/>
      <c r="DR16" s="11"/>
    </row>
    <row r="17" spans="1:122" x14ac:dyDescent="0.3">
      <c r="A17" s="10"/>
      <c r="B17" s="18"/>
      <c r="C17" s="18"/>
      <c r="D17" s="18"/>
      <c r="E17" s="11"/>
      <c r="F17" s="10"/>
      <c r="G17" s="18"/>
      <c r="H17" s="18"/>
      <c r="I17" s="11"/>
      <c r="J17" s="10"/>
      <c r="K17" s="18"/>
      <c r="L17" s="18"/>
      <c r="M17" s="11"/>
      <c r="N17" s="10"/>
      <c r="O17" s="18"/>
      <c r="P17" s="18"/>
      <c r="Q17" s="30"/>
      <c r="R17" s="10"/>
      <c r="S17" s="18"/>
      <c r="T17" s="18"/>
      <c r="U17" s="32"/>
      <c r="V17" s="10"/>
      <c r="W17" s="18"/>
      <c r="X17" s="18"/>
      <c r="Y17" s="35"/>
      <c r="Z17" s="10"/>
      <c r="AA17" s="11"/>
      <c r="AB17" s="12"/>
      <c r="AC17" s="10"/>
      <c r="AD17" s="34"/>
      <c r="AE17" s="11"/>
      <c r="AF17" s="10"/>
      <c r="AG17" s="11"/>
      <c r="AH17" s="11"/>
      <c r="AI17" s="10"/>
      <c r="AK17" s="11"/>
      <c r="AL17" s="10"/>
      <c r="AN17" s="11"/>
      <c r="AO17" s="10"/>
      <c r="AQ17" s="11"/>
      <c r="AR17" s="10"/>
      <c r="AS17" s="11"/>
      <c r="AT17" s="12"/>
      <c r="AU17" s="11"/>
      <c r="AW17" s="11"/>
      <c r="AX17" s="11"/>
      <c r="AZ17" s="11"/>
      <c r="BA17" s="10"/>
      <c r="BB17" s="18"/>
      <c r="BC17" s="11"/>
      <c r="BD17" s="12"/>
      <c r="BE17" s="10"/>
      <c r="BF17" s="11"/>
      <c r="BG17" s="12"/>
      <c r="BH17" s="10"/>
      <c r="BI17" s="11"/>
      <c r="BJ17" s="12"/>
      <c r="BK17" s="10"/>
      <c r="BL17" s="11"/>
      <c r="BM17" s="10"/>
      <c r="BN17" s="11"/>
      <c r="BO17" s="10"/>
      <c r="BP17" s="11"/>
      <c r="BQ17" s="10"/>
      <c r="BR17" s="11"/>
      <c r="BS17" s="10"/>
      <c r="BU17" s="11"/>
      <c r="BV17" s="11"/>
      <c r="BW17" s="10"/>
      <c r="BY17" s="11"/>
      <c r="BZ17" s="10"/>
      <c r="CA17" s="11"/>
      <c r="CB17" s="10"/>
      <c r="CC17" s="11"/>
      <c r="CD17" s="10"/>
      <c r="CE17" s="11"/>
      <c r="CF17" s="10"/>
      <c r="CG17" s="11"/>
      <c r="CH17" s="10"/>
      <c r="CI17" s="11"/>
      <c r="CJ17" s="10"/>
      <c r="CK17" s="11"/>
      <c r="CL17" s="10"/>
      <c r="CM17" s="11"/>
      <c r="CN17" s="12"/>
      <c r="CO17" s="10"/>
      <c r="CP17" s="11"/>
      <c r="CQ17" s="10"/>
      <c r="CR17" s="18"/>
      <c r="CS17" s="11"/>
      <c r="CT17" s="10"/>
      <c r="CU17" s="11"/>
      <c r="CV17" s="10"/>
      <c r="CW17" s="11"/>
      <c r="CX17" s="10"/>
      <c r="CY17" s="11"/>
      <c r="CZ17" s="10"/>
      <c r="DA17" s="11"/>
      <c r="DB17" s="10"/>
      <c r="DC17" s="11"/>
      <c r="DD17" s="10"/>
      <c r="DE17" s="11"/>
      <c r="DG17" s="10"/>
      <c r="DH17" s="10"/>
      <c r="DI17" s="11"/>
      <c r="DJ17" s="10"/>
      <c r="DK17" s="11"/>
      <c r="DL17" s="11"/>
      <c r="DM17" s="10"/>
      <c r="DN17" s="10"/>
      <c r="DO17" s="10"/>
      <c r="DP17" s="10"/>
      <c r="DR17" s="11"/>
    </row>
    <row r="18" spans="1:122" x14ac:dyDescent="0.3">
      <c r="A18" s="10"/>
      <c r="B18" s="18"/>
      <c r="C18" s="18"/>
      <c r="D18" s="18"/>
      <c r="E18" s="11"/>
      <c r="F18" s="10"/>
      <c r="G18" s="18"/>
      <c r="H18" s="18"/>
      <c r="I18" s="11"/>
      <c r="J18" s="10"/>
      <c r="K18" s="18"/>
      <c r="L18" s="18"/>
      <c r="M18" s="11"/>
      <c r="N18" s="10"/>
      <c r="O18" s="18"/>
      <c r="P18" s="18"/>
      <c r="Q18" s="30"/>
      <c r="R18" s="10"/>
      <c r="S18" s="18"/>
      <c r="T18" s="18"/>
      <c r="U18" s="32"/>
      <c r="V18" s="10"/>
      <c r="W18" s="18"/>
      <c r="X18" s="18"/>
      <c r="Y18" s="35"/>
      <c r="Z18" s="10"/>
      <c r="AA18" s="11"/>
      <c r="AB18" s="12"/>
      <c r="AC18" s="10"/>
      <c r="AE18" s="11"/>
      <c r="AF18" s="10"/>
      <c r="AG18" s="11"/>
      <c r="AH18" s="11"/>
      <c r="AI18" s="10"/>
      <c r="AJ18" s="11"/>
      <c r="AK18" s="11"/>
      <c r="AL18" s="10"/>
      <c r="AM18" s="11"/>
      <c r="AN18" s="11"/>
      <c r="AO18" s="10"/>
      <c r="AP18" s="11"/>
      <c r="AQ18" s="11"/>
      <c r="AR18" s="10"/>
      <c r="AS18" s="11"/>
      <c r="AT18" s="12"/>
      <c r="AU18" s="11"/>
      <c r="AW18" s="11"/>
      <c r="AX18" s="11"/>
      <c r="AZ18" s="11"/>
      <c r="BA18" s="10"/>
      <c r="BB18" s="18"/>
      <c r="BC18" s="11"/>
      <c r="BD18" s="12"/>
      <c r="BE18" s="10"/>
      <c r="BF18" s="11"/>
      <c r="BG18" s="12"/>
      <c r="BH18" s="10"/>
      <c r="BI18" s="11"/>
      <c r="BJ18" s="12"/>
      <c r="BK18" s="10"/>
      <c r="BL18" s="11"/>
      <c r="BM18" s="10"/>
      <c r="BN18" s="11"/>
      <c r="BO18" s="10"/>
      <c r="BP18" s="11"/>
      <c r="BQ18" s="10"/>
      <c r="BR18" s="11"/>
      <c r="BS18" s="10"/>
      <c r="BU18" s="11"/>
      <c r="BV18" s="11"/>
      <c r="BW18" s="10"/>
      <c r="BY18" s="11"/>
      <c r="BZ18" s="10"/>
      <c r="CA18" s="11"/>
      <c r="CB18" s="10"/>
      <c r="CC18" s="11"/>
      <c r="CD18" s="10"/>
      <c r="CE18" s="11"/>
      <c r="CF18" s="10"/>
      <c r="CG18" s="11"/>
      <c r="CH18" s="10"/>
      <c r="CI18" s="11"/>
      <c r="CJ18" s="10"/>
      <c r="CK18" s="11"/>
      <c r="CL18" s="10"/>
      <c r="CM18" s="11"/>
      <c r="CN18" s="12"/>
      <c r="CO18" s="10"/>
      <c r="CP18" s="11"/>
      <c r="CQ18" s="10"/>
      <c r="CR18" s="18"/>
      <c r="CS18" s="11"/>
      <c r="CT18" s="10"/>
      <c r="CU18" s="11"/>
      <c r="CV18" s="10"/>
      <c r="CW18" s="11"/>
      <c r="CX18" s="10"/>
      <c r="CY18" s="11"/>
      <c r="CZ18" s="10"/>
      <c r="DA18" s="11"/>
      <c r="DB18" s="10"/>
      <c r="DC18" s="11"/>
      <c r="DD18" s="10"/>
      <c r="DE18" s="11"/>
      <c r="DG18" s="10"/>
      <c r="DH18" s="10"/>
      <c r="DI18" s="11"/>
      <c r="DJ18" s="10"/>
      <c r="DK18" s="11"/>
      <c r="DL18" s="11"/>
      <c r="DM18" s="10"/>
      <c r="DN18" s="10"/>
      <c r="DO18" s="10"/>
      <c r="DP18" s="10"/>
      <c r="DR18" s="11"/>
    </row>
    <row r="19" spans="1:122" x14ac:dyDescent="0.3">
      <c r="A19" s="10"/>
      <c r="B19" s="18"/>
      <c r="C19" s="18"/>
      <c r="D19" s="18"/>
      <c r="E19" s="11"/>
      <c r="G19" s="18"/>
      <c r="H19" s="18"/>
      <c r="I19" s="11"/>
      <c r="K19" s="18"/>
      <c r="L19" s="18"/>
      <c r="M19" s="11"/>
      <c r="O19" s="18"/>
      <c r="P19" s="18"/>
      <c r="Q19" s="30"/>
      <c r="S19" s="18"/>
      <c r="T19" s="18"/>
      <c r="U19" s="33"/>
      <c r="W19" s="18"/>
      <c r="X19" s="18"/>
      <c r="Y19" s="35"/>
      <c r="AG19" s="11"/>
      <c r="AH19" s="11"/>
      <c r="AJ19" s="34"/>
      <c r="AK19" s="11"/>
      <c r="AM19" s="34"/>
      <c r="AN19" s="11"/>
      <c r="AP19" s="34"/>
      <c r="AQ19" s="11"/>
      <c r="BS19" s="10"/>
      <c r="BU19" s="11"/>
      <c r="BV19" s="11"/>
      <c r="DP19" s="10"/>
      <c r="DR19" s="11"/>
    </row>
    <row r="20" spans="1:122" x14ac:dyDescent="0.3">
      <c r="A20" s="10"/>
      <c r="B20" s="18"/>
      <c r="C20" s="18"/>
      <c r="D20" s="18"/>
      <c r="E20" s="11"/>
      <c r="G20" s="18"/>
      <c r="H20" s="18"/>
      <c r="I20" s="11"/>
      <c r="K20" s="18"/>
      <c r="L20" s="18"/>
      <c r="M20" s="11"/>
      <c r="O20" s="18"/>
      <c r="P20" s="18"/>
      <c r="Q20" s="30"/>
      <c r="S20" s="18"/>
      <c r="T20" s="18"/>
      <c r="U20" s="33"/>
      <c r="W20" s="18"/>
      <c r="X20" s="18"/>
      <c r="Y20" s="35"/>
      <c r="AG20" s="11"/>
      <c r="AH20" s="11"/>
      <c r="AJ20" s="34"/>
      <c r="AK20" s="11"/>
      <c r="AM20" s="34"/>
      <c r="AN20" s="11"/>
      <c r="AP20" s="34"/>
      <c r="AQ20" s="11"/>
      <c r="BS20" s="10"/>
      <c r="BU20" s="11"/>
      <c r="BV20" s="11"/>
      <c r="DP20" s="10"/>
      <c r="DR20" s="11"/>
    </row>
    <row r="21" spans="1:122" x14ac:dyDescent="0.3">
      <c r="A21" s="10"/>
      <c r="B21" s="18"/>
      <c r="C21" s="18"/>
      <c r="D21" s="18"/>
      <c r="E21" s="11"/>
      <c r="G21" s="18"/>
      <c r="H21" s="18"/>
      <c r="I21" s="11"/>
      <c r="K21" s="18"/>
      <c r="L21" s="18"/>
      <c r="M21" s="11"/>
      <c r="O21" s="18"/>
      <c r="P21" s="18"/>
      <c r="Q21" s="30"/>
      <c r="S21" s="18"/>
      <c r="T21" s="18"/>
      <c r="U21" s="33"/>
      <c r="W21" s="18"/>
      <c r="X21" s="18"/>
      <c r="Y21" s="35"/>
      <c r="AG21" s="11"/>
      <c r="AH21" s="11"/>
      <c r="AJ21" s="34"/>
      <c r="AK21" s="11"/>
      <c r="AM21" s="34"/>
      <c r="AN21" s="11"/>
      <c r="AP21" s="34"/>
      <c r="AQ21" s="11"/>
      <c r="BS21" s="10"/>
      <c r="BU21" s="11"/>
      <c r="BV21" s="11"/>
      <c r="DP21" s="10"/>
      <c r="DR21" s="11"/>
    </row>
    <row r="22" spans="1:122" x14ac:dyDescent="0.3">
      <c r="A22" s="10"/>
      <c r="B22" s="18"/>
      <c r="C22" s="18"/>
      <c r="D22" s="18"/>
      <c r="E22" s="11"/>
      <c r="G22" s="18"/>
      <c r="H22" s="18"/>
      <c r="I22" s="11"/>
      <c r="K22" s="18"/>
      <c r="L22" s="18"/>
      <c r="M22" s="11"/>
      <c r="O22" s="18"/>
      <c r="P22" s="18"/>
      <c r="Q22" s="30"/>
      <c r="S22" s="18"/>
      <c r="T22" s="18"/>
      <c r="U22" s="33"/>
      <c r="W22" s="18"/>
      <c r="X22" s="18"/>
      <c r="Y22" s="35"/>
      <c r="AG22" s="11"/>
      <c r="AH22" s="11"/>
      <c r="AJ22" s="34"/>
      <c r="AK22" s="11"/>
      <c r="AM22" s="34"/>
      <c r="AN22" s="11"/>
      <c r="AP22" s="34"/>
      <c r="AQ22" s="11"/>
      <c r="BS22" s="10"/>
      <c r="BU22" s="11"/>
      <c r="BV22" s="11"/>
      <c r="DP22" s="10"/>
      <c r="DR22" s="11"/>
    </row>
    <row r="23" spans="1:122" x14ac:dyDescent="0.3">
      <c r="A23" s="10"/>
      <c r="B23" s="18"/>
      <c r="C23" s="18"/>
      <c r="D23" s="18"/>
      <c r="E23" s="20"/>
      <c r="G23" s="18"/>
      <c r="H23" s="18"/>
      <c r="I23" s="20"/>
      <c r="K23" s="18"/>
      <c r="L23" s="18"/>
      <c r="M23" s="20"/>
      <c r="O23" s="18"/>
      <c r="P23" s="18"/>
      <c r="Q23" s="30"/>
      <c r="S23" s="18"/>
      <c r="T23" s="18"/>
      <c r="U23" s="33"/>
      <c r="W23" s="18"/>
      <c r="X23" s="18"/>
      <c r="Y23" s="35"/>
      <c r="AH23" s="11"/>
      <c r="BS23" s="10"/>
      <c r="BU23" s="11"/>
      <c r="BV23" s="11"/>
      <c r="DP23" s="10"/>
      <c r="DR23" s="11"/>
    </row>
    <row r="24" spans="1:122" x14ac:dyDescent="0.3">
      <c r="A24" s="10"/>
      <c r="B24" s="18"/>
      <c r="C24" s="18"/>
      <c r="D24" s="18"/>
      <c r="E24" s="29"/>
      <c r="G24" s="18"/>
      <c r="H24" s="18"/>
      <c r="I24" s="29"/>
      <c r="K24" s="18"/>
      <c r="L24" s="18"/>
      <c r="M24" s="29"/>
      <c r="O24" s="18"/>
      <c r="P24" s="18"/>
      <c r="Q24" s="30"/>
      <c r="S24" s="18"/>
      <c r="T24" s="18"/>
      <c r="U24" s="33"/>
      <c r="W24" s="18"/>
      <c r="X24" s="18"/>
      <c r="Y24" s="35"/>
      <c r="AH24" s="11"/>
      <c r="BS24" s="10"/>
      <c r="BU24" s="11"/>
      <c r="BV24" s="11"/>
      <c r="DP24" s="10"/>
      <c r="DR24" s="11"/>
    </row>
    <row r="25" spans="1:122" x14ac:dyDescent="0.3">
      <c r="A25" s="10"/>
      <c r="B25" s="18"/>
      <c r="C25" s="18"/>
      <c r="D25" s="18"/>
      <c r="E25" s="29"/>
      <c r="G25" s="18"/>
      <c r="H25" s="18"/>
      <c r="I25" s="29"/>
      <c r="K25" s="18"/>
      <c r="L25" s="18"/>
      <c r="M25" s="29"/>
      <c r="O25" s="18"/>
      <c r="P25" s="18"/>
      <c r="Q25" s="30"/>
      <c r="S25" s="18"/>
      <c r="T25" s="18"/>
      <c r="U25" s="33"/>
      <c r="W25" s="18"/>
      <c r="X25" s="18"/>
      <c r="Y25" s="35"/>
      <c r="AH25" s="11"/>
      <c r="BS25" s="10"/>
      <c r="BU25" s="11"/>
      <c r="BV25" s="11"/>
      <c r="DP25" s="10"/>
      <c r="DR25" s="11"/>
    </row>
    <row r="26" spans="1:122" x14ac:dyDescent="0.3">
      <c r="A26" s="10"/>
      <c r="B26" s="18"/>
      <c r="C26" s="18"/>
      <c r="D26" s="18"/>
      <c r="E26" s="29"/>
      <c r="G26" s="18"/>
      <c r="H26" s="18"/>
      <c r="I26" s="29"/>
      <c r="K26" s="18"/>
      <c r="L26" s="18"/>
      <c r="M26" s="29"/>
      <c r="O26" s="18"/>
      <c r="P26" s="18"/>
      <c r="Q26" s="30"/>
      <c r="S26" s="18"/>
      <c r="T26" s="18"/>
      <c r="U26" s="33"/>
      <c r="W26" s="18"/>
      <c r="X26" s="18"/>
      <c r="Y26" s="35"/>
      <c r="AH26" s="11"/>
      <c r="BS26" s="10"/>
      <c r="BU26" s="11"/>
      <c r="BV26" s="11"/>
      <c r="DP26" s="10"/>
      <c r="DR26" s="11"/>
    </row>
    <row r="27" spans="1:122" x14ac:dyDescent="0.3">
      <c r="A27" s="10"/>
      <c r="B27" s="18"/>
      <c r="C27" s="18"/>
      <c r="D27" s="18"/>
      <c r="E27" s="29"/>
      <c r="G27" s="18"/>
      <c r="H27" s="18"/>
      <c r="I27" s="29"/>
      <c r="K27" s="18"/>
      <c r="L27" s="18"/>
      <c r="M27" s="29"/>
      <c r="O27" s="18"/>
      <c r="P27" s="18"/>
      <c r="Q27" s="30"/>
      <c r="S27" s="18"/>
      <c r="T27" s="18"/>
      <c r="U27" s="33"/>
      <c r="W27" s="18"/>
      <c r="X27" s="18"/>
      <c r="Y27" s="35"/>
      <c r="AG27" s="11"/>
      <c r="AH27" s="11"/>
      <c r="BS27" s="10"/>
      <c r="BU27" s="11"/>
      <c r="BV27" s="11"/>
      <c r="DP27" s="10"/>
      <c r="DR27" s="11"/>
    </row>
    <row r="28" spans="1:122" x14ac:dyDescent="0.3">
      <c r="A28" s="10"/>
      <c r="B28" s="18"/>
      <c r="C28" s="18"/>
      <c r="D28" s="18"/>
      <c r="E28" s="29"/>
      <c r="G28" s="18"/>
      <c r="H28" s="18"/>
      <c r="I28" s="29"/>
      <c r="K28" s="18"/>
      <c r="L28" s="18"/>
      <c r="M28" s="29"/>
      <c r="O28" s="18"/>
      <c r="P28" s="18"/>
      <c r="Q28" s="30"/>
      <c r="S28" s="18"/>
      <c r="T28" s="18"/>
      <c r="U28" s="33"/>
      <c r="W28" s="18"/>
      <c r="X28" s="18"/>
      <c r="Y28" s="35"/>
      <c r="AG28" s="11"/>
      <c r="AH28" s="11"/>
      <c r="BS28" s="10"/>
      <c r="BU28" s="11"/>
      <c r="BV28" s="11"/>
      <c r="DP28" s="10"/>
      <c r="DR28" s="11"/>
    </row>
    <row r="29" spans="1:122" x14ac:dyDescent="0.3">
      <c r="A29" s="10"/>
      <c r="B29" s="18"/>
      <c r="C29" s="18"/>
      <c r="D29" s="18"/>
      <c r="E29" s="29"/>
      <c r="G29" s="18"/>
      <c r="H29" s="18"/>
      <c r="I29" s="29"/>
      <c r="K29" s="18"/>
      <c r="L29" s="18"/>
      <c r="M29" s="29"/>
      <c r="O29" s="18"/>
      <c r="P29" s="18"/>
      <c r="Q29" s="30"/>
      <c r="S29" s="18"/>
      <c r="T29" s="18"/>
      <c r="U29" s="33"/>
      <c r="W29" s="18"/>
      <c r="X29" s="18"/>
      <c r="Y29" s="35"/>
      <c r="AG29" s="11"/>
      <c r="AH29" s="11"/>
      <c r="BS29" s="10"/>
      <c r="BU29" s="11"/>
      <c r="BV29" s="11"/>
      <c r="DP29" s="10"/>
      <c r="DR29" s="11"/>
    </row>
    <row r="30" spans="1:122" x14ac:dyDescent="0.3">
      <c r="A30" s="10"/>
      <c r="B30" s="18"/>
      <c r="C30" s="18"/>
      <c r="D30" s="18"/>
      <c r="E30" s="29"/>
      <c r="G30" s="18"/>
      <c r="H30" s="18"/>
      <c r="I30" s="29"/>
      <c r="K30" s="18"/>
      <c r="L30" s="18"/>
      <c r="M30" s="29"/>
      <c r="O30" s="18"/>
      <c r="P30" s="18"/>
      <c r="Q30" s="30"/>
      <c r="S30" s="18"/>
      <c r="T30" s="18"/>
      <c r="U30" s="33"/>
      <c r="W30" s="18"/>
      <c r="X30" s="18"/>
      <c r="Y30" s="35"/>
      <c r="AG30" s="11"/>
      <c r="AH30" s="11"/>
      <c r="BS30" s="10"/>
      <c r="BU30" s="11"/>
      <c r="BV30" s="11"/>
      <c r="DP30" s="10"/>
      <c r="DR30" s="11"/>
    </row>
    <row r="31" spans="1:122" x14ac:dyDescent="0.3">
      <c r="A31" s="10"/>
      <c r="B31" s="18"/>
      <c r="C31" s="18"/>
      <c r="D31" s="18"/>
      <c r="E31" s="29"/>
      <c r="G31" s="18"/>
      <c r="H31" s="18"/>
      <c r="I31" s="29"/>
      <c r="K31" s="18"/>
      <c r="L31" s="18"/>
      <c r="M31" s="29"/>
      <c r="O31" s="18"/>
      <c r="P31" s="18"/>
      <c r="Q31" s="30"/>
      <c r="S31" s="18"/>
      <c r="T31" s="18"/>
      <c r="U31" s="33"/>
      <c r="W31" s="18"/>
      <c r="X31" s="18"/>
      <c r="Y31" s="35"/>
      <c r="AG31" s="11"/>
      <c r="AH31" s="11"/>
      <c r="BS31" s="10"/>
      <c r="BU31" s="11"/>
      <c r="BV31" s="11"/>
      <c r="DP31" s="10"/>
      <c r="DR31" s="11"/>
    </row>
    <row r="32" spans="1:122" x14ac:dyDescent="0.3">
      <c r="A32" s="10"/>
      <c r="B32" s="18"/>
      <c r="C32" s="18"/>
      <c r="D32" s="18"/>
      <c r="E32" s="29"/>
      <c r="G32" s="18"/>
      <c r="H32" s="18"/>
      <c r="I32" s="29"/>
      <c r="K32" s="18"/>
      <c r="L32" s="18"/>
      <c r="M32" s="29"/>
      <c r="O32" s="18"/>
      <c r="P32" s="18"/>
      <c r="Q32" s="30"/>
      <c r="S32" s="18"/>
      <c r="T32" s="18"/>
      <c r="U32" s="33"/>
      <c r="W32" s="18"/>
      <c r="X32" s="18"/>
      <c r="Y32" s="35"/>
      <c r="AG32" s="11"/>
      <c r="AH32" s="11"/>
      <c r="BS32" s="10"/>
      <c r="BU32" s="11"/>
      <c r="BV32" s="11"/>
      <c r="DP32" s="10"/>
      <c r="DR32" s="11"/>
    </row>
    <row r="33" spans="3:122" x14ac:dyDescent="0.3">
      <c r="C33" s="18"/>
      <c r="G33" s="18"/>
      <c r="H33" s="18"/>
      <c r="I33" s="20"/>
      <c r="K33" s="18"/>
      <c r="L33" s="18"/>
      <c r="M33" s="20"/>
      <c r="O33" s="18"/>
      <c r="P33" s="18"/>
      <c r="Q33" s="30"/>
      <c r="S33" s="18"/>
      <c r="T33" s="18"/>
      <c r="U33" s="33"/>
      <c r="W33" s="18"/>
      <c r="X33" s="18"/>
      <c r="Y33" s="35"/>
      <c r="AH33" s="11"/>
      <c r="BS33" s="10"/>
      <c r="BU33" s="11"/>
      <c r="BV33" s="11"/>
      <c r="DP33" s="10"/>
      <c r="DR33" s="11"/>
    </row>
    <row r="34" spans="3:122" x14ac:dyDescent="0.3">
      <c r="G34" s="18"/>
      <c r="H34" s="18"/>
      <c r="I34" s="29"/>
      <c r="K34" s="18"/>
      <c r="L34" s="18"/>
      <c r="M34" s="29"/>
      <c r="O34" s="18"/>
      <c r="P34" s="18"/>
      <c r="Q34" s="30"/>
      <c r="S34" s="18"/>
      <c r="T34" s="18"/>
      <c r="U34" s="33"/>
      <c r="W34" s="18"/>
      <c r="X34" s="18"/>
      <c r="Y34" s="35"/>
      <c r="AH34" s="11"/>
      <c r="BS34" s="10"/>
      <c r="BU34" s="11"/>
      <c r="BV34" s="11"/>
      <c r="DP34" s="10"/>
      <c r="DR34" s="11"/>
    </row>
    <row r="35" spans="3:122" x14ac:dyDescent="0.3">
      <c r="G35" s="18"/>
      <c r="H35" s="18"/>
      <c r="I35" s="29"/>
      <c r="K35" s="18"/>
      <c r="L35" s="18"/>
      <c r="M35" s="29"/>
      <c r="O35" s="18"/>
      <c r="P35" s="18"/>
      <c r="Q35" s="30"/>
      <c r="S35" s="18"/>
      <c r="T35" s="18"/>
      <c r="U35" s="33"/>
      <c r="W35" s="18"/>
      <c r="X35" s="18"/>
      <c r="Y35" s="35"/>
      <c r="AH35" s="11"/>
      <c r="BS35" s="10"/>
      <c r="BU35" s="11"/>
      <c r="BV35" s="11"/>
      <c r="DP35" s="10"/>
      <c r="DR35" s="11"/>
    </row>
    <row r="36" spans="3:122" x14ac:dyDescent="0.3">
      <c r="G36" s="18"/>
      <c r="H36" s="18"/>
      <c r="I36" s="29"/>
      <c r="K36" s="18"/>
      <c r="L36" s="18"/>
      <c r="M36" s="29"/>
      <c r="O36" s="18"/>
      <c r="P36" s="18"/>
      <c r="Q36" s="30"/>
      <c r="S36" s="18"/>
      <c r="T36" s="18"/>
      <c r="U36" s="33"/>
      <c r="W36" s="18"/>
      <c r="X36" s="18"/>
      <c r="Y36" s="35"/>
      <c r="AH36" s="11"/>
      <c r="BS36" s="10"/>
      <c r="BU36" s="11"/>
      <c r="BV36" s="11"/>
      <c r="DP36" s="10"/>
      <c r="DR36" s="11"/>
    </row>
    <row r="37" spans="3:122" x14ac:dyDescent="0.3">
      <c r="G37" s="18"/>
      <c r="H37" s="18"/>
      <c r="I37" s="29"/>
      <c r="K37" s="18"/>
      <c r="L37" s="18"/>
      <c r="M37" s="29"/>
      <c r="O37" s="18"/>
      <c r="P37" s="18"/>
      <c r="Q37" s="30"/>
      <c r="S37" s="18"/>
      <c r="T37" s="18"/>
      <c r="U37" s="29"/>
      <c r="W37" s="18"/>
      <c r="X37" s="18"/>
      <c r="Y37" s="35"/>
      <c r="AG37" s="11"/>
      <c r="AH37" s="11"/>
      <c r="BS37" s="10"/>
      <c r="BU37" s="11"/>
      <c r="BV37" s="11"/>
      <c r="DP37" s="10"/>
      <c r="DR37" s="11"/>
    </row>
    <row r="38" spans="3:122" x14ac:dyDescent="0.3">
      <c r="G38" s="18"/>
      <c r="H38" s="18"/>
      <c r="I38" s="29"/>
      <c r="K38" s="18"/>
      <c r="L38" s="18"/>
      <c r="M38" s="29"/>
      <c r="O38" s="18"/>
      <c r="P38" s="18"/>
      <c r="Q38" s="30"/>
      <c r="S38" s="18"/>
      <c r="T38" s="18"/>
      <c r="U38" s="29"/>
      <c r="W38" s="18"/>
      <c r="X38" s="18"/>
      <c r="Y38" s="35"/>
      <c r="AG38" s="11"/>
      <c r="AH38" s="11"/>
      <c r="BS38" s="10"/>
      <c r="BU38" s="11"/>
      <c r="BV38" s="11"/>
      <c r="DP38" s="10"/>
      <c r="DR38" s="11"/>
    </row>
    <row r="39" spans="3:122" x14ac:dyDescent="0.3">
      <c r="G39" s="18"/>
      <c r="H39" s="18"/>
      <c r="I39" s="29"/>
      <c r="K39" s="18"/>
      <c r="L39" s="18"/>
      <c r="M39" s="29"/>
      <c r="O39" s="18"/>
      <c r="P39" s="18"/>
      <c r="Q39" s="30"/>
      <c r="S39" s="18"/>
      <c r="T39" s="18"/>
      <c r="U39" s="29"/>
      <c r="W39" s="18"/>
      <c r="X39" s="18"/>
      <c r="Y39" s="35"/>
      <c r="AG39" s="11"/>
      <c r="AH39" s="11"/>
      <c r="BS39" s="10"/>
      <c r="BU39" s="11"/>
      <c r="BV39" s="11"/>
      <c r="DP39" s="10"/>
      <c r="DR39" s="11"/>
    </row>
    <row r="40" spans="3:122" x14ac:dyDescent="0.3">
      <c r="G40" s="18"/>
      <c r="H40" s="18"/>
      <c r="I40" s="29"/>
      <c r="K40" s="18"/>
      <c r="L40" s="18"/>
      <c r="M40" s="29"/>
      <c r="O40" s="18"/>
      <c r="P40" s="18"/>
      <c r="Q40" s="30"/>
      <c r="S40" s="18"/>
      <c r="T40" s="18"/>
      <c r="U40" s="29"/>
      <c r="W40" s="18"/>
      <c r="X40" s="18"/>
      <c r="Y40" s="35"/>
      <c r="AG40" s="11"/>
      <c r="AH40" s="11"/>
      <c r="BS40" s="10"/>
      <c r="BU40" s="11"/>
      <c r="BV40" s="11"/>
      <c r="DP40" s="10"/>
      <c r="DR40" s="11"/>
    </row>
    <row r="41" spans="3:122" x14ac:dyDescent="0.3">
      <c r="G41" s="18"/>
      <c r="H41" s="18"/>
      <c r="I41" s="29"/>
      <c r="K41" s="18"/>
      <c r="L41" s="18"/>
      <c r="M41" s="29"/>
      <c r="O41" s="18"/>
      <c r="P41" s="18"/>
      <c r="Q41" s="30"/>
      <c r="S41" s="18"/>
      <c r="T41" s="18"/>
      <c r="U41" s="29"/>
      <c r="W41" s="18"/>
      <c r="X41" s="18"/>
      <c r="Y41" s="35"/>
      <c r="AG41" s="11"/>
      <c r="AH41" s="11"/>
      <c r="BS41" s="10"/>
      <c r="BU41" s="11"/>
      <c r="BV41" s="11"/>
      <c r="DP41" s="10"/>
      <c r="DR41" s="11"/>
    </row>
    <row r="42" spans="3:122" x14ac:dyDescent="0.3">
      <c r="G42" s="18"/>
      <c r="H42" s="18"/>
      <c r="I42" s="29"/>
      <c r="K42" s="18"/>
      <c r="L42" s="18"/>
      <c r="M42" s="29"/>
      <c r="O42" s="18"/>
      <c r="P42" s="18"/>
      <c r="Q42" s="30"/>
      <c r="S42" s="18"/>
      <c r="T42" s="18"/>
      <c r="U42" s="29"/>
      <c r="W42" s="18"/>
      <c r="X42" s="18"/>
      <c r="Y42" s="35"/>
      <c r="AG42" s="11"/>
      <c r="AH42" s="11"/>
      <c r="BS42" s="10"/>
      <c r="BU42" s="11"/>
      <c r="BV42" s="11"/>
      <c r="DP42" s="10"/>
      <c r="DR42" s="11"/>
    </row>
    <row r="43" spans="3:122" x14ac:dyDescent="0.3">
      <c r="G43" s="18"/>
      <c r="H43" s="18"/>
      <c r="I43" s="20"/>
      <c r="L43" s="18"/>
      <c r="M43" s="20"/>
      <c r="Q43" s="30"/>
      <c r="U43" s="29"/>
      <c r="AF43" s="13">
        <v>4</v>
      </c>
      <c r="AG43" s="14">
        <v>0</v>
      </c>
      <c r="AH43" s="11">
        <f>Dis2point(INDEX(Sheet1!$A$4:$Q$14,AF43 + 1,14),INDEX(Sheet1!$A$4:$Q$14,AF43 + 1,15),INDEX(Sheet1!$A$4:$Q$14,AG43 + 1,16),INDEX(Sheet1!$A$4:$Q$14,AG43 + 1,17))</f>
        <v>5.0990195135927845</v>
      </c>
      <c r="DP43" s="10"/>
      <c r="DR43" s="11"/>
    </row>
    <row r="44" spans="3:122" x14ac:dyDescent="0.3">
      <c r="G44" s="18"/>
      <c r="H44" s="18"/>
      <c r="I44" s="29"/>
      <c r="L44" s="18"/>
      <c r="M44" s="29"/>
      <c r="Q44" s="30"/>
      <c r="AF44" s="13">
        <v>4</v>
      </c>
      <c r="AG44" s="14">
        <v>1</v>
      </c>
      <c r="AH44" s="11">
        <f>Dis2point(INDEX(Sheet1!$A$4:$Q$14,AF44 + 1,14),INDEX(Sheet1!$A$4:$Q$14,AF44 + 1,15),INDEX(Sheet1!$A$4:$Q$14,AG44 + 1,16),INDEX(Sheet1!$A$4:$Q$14,AG44 + 1,17))</f>
        <v>9.2195444572928871</v>
      </c>
      <c r="DP44" s="10"/>
      <c r="DR44" s="11"/>
    </row>
    <row r="45" spans="3:122" x14ac:dyDescent="0.3">
      <c r="G45" s="18"/>
      <c r="H45" s="18"/>
      <c r="I45" s="29"/>
      <c r="L45" s="18"/>
      <c r="M45" s="29"/>
      <c r="Q45" s="30"/>
      <c r="AF45" s="13">
        <v>4</v>
      </c>
      <c r="AG45" s="14">
        <v>2</v>
      </c>
      <c r="AH45" s="11">
        <f>Dis2point(INDEX(Sheet1!$A$4:$Q$14,AF45 + 1,14),INDEX(Sheet1!$A$4:$Q$14,AF45 + 1,15),INDEX(Sheet1!$A$4:$Q$14,AG45 + 1,16),INDEX(Sheet1!$A$4:$Q$14,AG45 + 1,17))</f>
        <v>8.6023252670426267</v>
      </c>
      <c r="DP45" s="10"/>
      <c r="DR45" s="11"/>
    </row>
    <row r="46" spans="3:122" x14ac:dyDescent="0.3">
      <c r="G46" s="18"/>
      <c r="H46" s="18"/>
      <c r="I46" s="29"/>
      <c r="L46" s="18"/>
      <c r="M46" s="29"/>
      <c r="Q46" s="30"/>
      <c r="AF46" s="13">
        <v>4</v>
      </c>
      <c r="AG46" s="14">
        <v>3</v>
      </c>
      <c r="AH46" s="11">
        <f>Dis2point(INDEX(Sheet1!$A$4:$Q$14,AF46 + 1,14),INDEX(Sheet1!$A$4:$Q$14,AF46 + 1,15),INDEX(Sheet1!$A$4:$Q$14,AG46 + 1,16),INDEX(Sheet1!$A$4:$Q$14,AG46 + 1,17))</f>
        <v>5</v>
      </c>
      <c r="DP46" s="10"/>
      <c r="DR46" s="11"/>
    </row>
    <row r="47" spans="3:122" x14ac:dyDescent="0.3">
      <c r="G47" s="18"/>
      <c r="H47" s="18"/>
      <c r="I47" s="29"/>
      <c r="L47" s="18"/>
      <c r="M47" s="29"/>
      <c r="Q47" s="30"/>
      <c r="AF47" s="13">
        <v>4</v>
      </c>
      <c r="AG47" s="11">
        <v>4</v>
      </c>
      <c r="AH47" s="11">
        <f>Dis2point(INDEX(Sheet1!$A$4:$Q$14,AF47 + 1,14),INDEX(Sheet1!$A$4:$Q$14,AF47 + 1,15),INDEX(Sheet1!$A$4:$Q$14,AG47 + 1,16),INDEX(Sheet1!$A$4:$Q$14,AG47 + 1,17))</f>
        <v>2.2360679774997898</v>
      </c>
      <c r="DP47" s="10"/>
      <c r="DR47" s="11"/>
    </row>
    <row r="48" spans="3:122" x14ac:dyDescent="0.3">
      <c r="G48" s="18"/>
      <c r="H48" s="18"/>
      <c r="I48" s="29"/>
      <c r="L48" s="18"/>
      <c r="M48" s="29"/>
      <c r="AF48" s="13">
        <v>4</v>
      </c>
      <c r="AG48" s="11">
        <v>5</v>
      </c>
      <c r="AH48" s="11">
        <f>Dis2point(INDEX(Sheet1!$A$4:$Q$14,AF48 + 1,14),INDEX(Sheet1!$A$4:$Q$14,AF48 + 1,15),INDEX(Sheet1!$A$4:$Q$14,AG48 + 1,16),INDEX(Sheet1!$A$4:$Q$14,AG48 + 1,17))</f>
        <v>9.2195444572928871</v>
      </c>
      <c r="DP48" s="10"/>
      <c r="DR48" s="11"/>
    </row>
    <row r="49" spans="7:122" x14ac:dyDescent="0.3">
      <c r="G49" s="18"/>
      <c r="H49" s="18"/>
      <c r="I49" s="29"/>
      <c r="L49" s="18"/>
      <c r="M49" s="29"/>
      <c r="AF49" s="13">
        <v>4</v>
      </c>
      <c r="AG49" s="11">
        <v>6</v>
      </c>
      <c r="AH49" s="11">
        <f>Dis2point(INDEX(Sheet1!$A$4:$Q$14,AF49 + 1,14),INDEX(Sheet1!$A$4:$Q$14,AF49 + 1,15),INDEX(Sheet1!$A$4:$Q$14,AG49 + 1,16),INDEX(Sheet1!$A$4:$Q$14,AG49 + 1,17))</f>
        <v>10</v>
      </c>
      <c r="DP49" s="10"/>
      <c r="DR49" s="11"/>
    </row>
    <row r="50" spans="7:122" x14ac:dyDescent="0.3">
      <c r="G50" s="18"/>
      <c r="H50" s="18"/>
      <c r="I50" s="29"/>
      <c r="L50" s="18"/>
      <c r="M50" s="29"/>
      <c r="AF50" s="13">
        <v>4</v>
      </c>
      <c r="AG50" s="11">
        <v>7</v>
      </c>
      <c r="AH50" s="11">
        <f>Dis2point(INDEX(Sheet1!$A$4:$Q$14,AF50 + 1,14),INDEX(Sheet1!$A$4:$Q$14,AF50 + 1,15),INDEX(Sheet1!$A$4:$Q$14,AG50 + 1,16),INDEX(Sheet1!$A$4:$Q$14,AG50 + 1,17))</f>
        <v>3.1622776601683795</v>
      </c>
      <c r="DP50" s="10"/>
      <c r="DR50" s="11"/>
    </row>
    <row r="51" spans="7:122" x14ac:dyDescent="0.3">
      <c r="G51" s="18"/>
      <c r="H51" s="18"/>
      <c r="I51" s="29"/>
      <c r="L51" s="18"/>
      <c r="M51" s="29"/>
      <c r="AF51" s="13">
        <v>4</v>
      </c>
      <c r="AG51" s="11">
        <v>8</v>
      </c>
      <c r="AH51" s="11">
        <f>Dis2point(INDEX(Sheet1!$A$4:$Q$14,AF51 + 1,14),INDEX(Sheet1!$A$4:$Q$14,AF51 + 1,15),INDEX(Sheet1!$A$4:$Q$14,AG51 + 1,16),INDEX(Sheet1!$A$4:$Q$14,AG51 + 1,17))</f>
        <v>5.6568542494923806</v>
      </c>
      <c r="DP51" s="10"/>
      <c r="DR51" s="11"/>
    </row>
    <row r="52" spans="7:122" x14ac:dyDescent="0.3">
      <c r="G52" s="18"/>
      <c r="H52" s="18"/>
      <c r="I52" s="29"/>
      <c r="L52" s="18"/>
      <c r="M52" s="29"/>
      <c r="AF52" s="13">
        <v>4</v>
      </c>
      <c r="AG52" s="11">
        <v>9</v>
      </c>
      <c r="AH52" s="11">
        <f>Dis2point(INDEX(Sheet1!$A$4:$Q$14,AF52 + 1,14),INDEX(Sheet1!$A$4:$Q$14,AF52 + 1,15),INDEX(Sheet1!$A$4:$Q$14,AG52 + 1,16),INDEX(Sheet1!$A$4:$Q$14,AG52 + 1,17))</f>
        <v>4.1231056256176606</v>
      </c>
      <c r="DP52" s="10"/>
      <c r="DR52" s="11"/>
    </row>
    <row r="53" spans="7:122" x14ac:dyDescent="0.3">
      <c r="G53" s="18"/>
      <c r="DP53" s="10"/>
      <c r="DR53" s="11"/>
    </row>
    <row r="54" spans="7:122" x14ac:dyDescent="0.3">
      <c r="G54" s="18"/>
      <c r="DP54" s="10"/>
      <c r="DR54" s="11"/>
    </row>
    <row r="55" spans="7:122" x14ac:dyDescent="0.3">
      <c r="G55" s="18"/>
      <c r="DP55" s="10"/>
      <c r="DR55" s="11"/>
    </row>
    <row r="56" spans="7:122" x14ac:dyDescent="0.3">
      <c r="G56" s="18"/>
      <c r="DP56" s="10"/>
      <c r="DR56" s="11"/>
    </row>
    <row r="57" spans="7:122" x14ac:dyDescent="0.3">
      <c r="G57" s="18"/>
      <c r="DP57" s="10"/>
      <c r="DR57" s="11"/>
    </row>
    <row r="58" spans="7:122" x14ac:dyDescent="0.3">
      <c r="G58" s="18"/>
      <c r="DP58" s="10"/>
      <c r="DR58" s="11"/>
    </row>
    <row r="59" spans="7:122" x14ac:dyDescent="0.3">
      <c r="G59" s="18"/>
      <c r="DP59" s="10"/>
      <c r="DR59" s="11"/>
    </row>
    <row r="60" spans="7:122" x14ac:dyDescent="0.3">
      <c r="G60" s="18"/>
      <c r="DP60" s="10"/>
      <c r="DR60" s="11"/>
    </row>
    <row r="61" spans="7:122" x14ac:dyDescent="0.3">
      <c r="G61" s="18"/>
      <c r="DP61" s="10"/>
      <c r="DR61" s="11"/>
    </row>
    <row r="62" spans="7:122" x14ac:dyDescent="0.3">
      <c r="G62" s="18"/>
      <c r="DP62" s="10"/>
      <c r="DR62" s="11"/>
    </row>
    <row r="63" spans="7:122" x14ac:dyDescent="0.3">
      <c r="G63" s="18"/>
      <c r="DP63" s="10"/>
      <c r="DR63" s="11"/>
    </row>
    <row r="64" spans="7:122" x14ac:dyDescent="0.3">
      <c r="G64" s="18"/>
      <c r="DP64" s="10"/>
      <c r="DR64" s="11"/>
    </row>
    <row r="65" spans="7:122" x14ac:dyDescent="0.3">
      <c r="G65" s="18"/>
      <c r="DP65" s="10"/>
      <c r="DR65" s="11"/>
    </row>
    <row r="66" spans="7:122" x14ac:dyDescent="0.3">
      <c r="G66" s="18"/>
      <c r="DP66" s="10"/>
      <c r="DR66" s="11"/>
    </row>
    <row r="67" spans="7:122" x14ac:dyDescent="0.3">
      <c r="G67" s="18"/>
      <c r="DP67" s="10"/>
      <c r="DR67" s="11"/>
    </row>
    <row r="68" spans="7:122" x14ac:dyDescent="0.3">
      <c r="G68" s="18"/>
      <c r="DP68" s="10"/>
      <c r="DR68" s="11"/>
    </row>
    <row r="69" spans="7:122" x14ac:dyDescent="0.3">
      <c r="G69" s="18"/>
      <c r="DP69" s="10"/>
      <c r="DR69" s="11"/>
    </row>
    <row r="70" spans="7:122" x14ac:dyDescent="0.3">
      <c r="G70" s="18"/>
      <c r="DP70" s="10"/>
      <c r="DR70" s="11"/>
    </row>
    <row r="71" spans="7:122" x14ac:dyDescent="0.3">
      <c r="G71" s="18"/>
      <c r="DP71" s="10"/>
      <c r="DR71" s="11"/>
    </row>
    <row r="72" spans="7:122" x14ac:dyDescent="0.3">
      <c r="G72" s="18"/>
      <c r="DP72" s="10"/>
      <c r="DR72" s="11"/>
    </row>
    <row r="73" spans="7:122" x14ac:dyDescent="0.3">
      <c r="G73" s="18"/>
      <c r="DP73" s="10"/>
      <c r="DR73" s="11"/>
    </row>
    <row r="74" spans="7:122" x14ac:dyDescent="0.3">
      <c r="G74" s="18"/>
      <c r="DP74" s="10"/>
      <c r="DR74" s="11"/>
    </row>
    <row r="75" spans="7:122" x14ac:dyDescent="0.3">
      <c r="G75" s="18"/>
      <c r="DP75" s="10"/>
      <c r="DR75" s="11"/>
    </row>
    <row r="76" spans="7:122" x14ac:dyDescent="0.3">
      <c r="G76" s="18"/>
      <c r="DP76" s="10"/>
      <c r="DR76" s="11"/>
    </row>
    <row r="77" spans="7:122" x14ac:dyDescent="0.3">
      <c r="G77" s="18"/>
      <c r="DP77" s="10"/>
      <c r="DR77" s="11"/>
    </row>
    <row r="78" spans="7:122" x14ac:dyDescent="0.3">
      <c r="G78" s="18"/>
      <c r="DP78" s="10"/>
      <c r="DR78" s="11"/>
    </row>
    <row r="79" spans="7:122" x14ac:dyDescent="0.3">
      <c r="G79" s="18"/>
      <c r="DP79" s="10"/>
      <c r="DR79" s="11"/>
    </row>
    <row r="80" spans="7:122" x14ac:dyDescent="0.3">
      <c r="G80" s="18"/>
      <c r="DP80" s="10"/>
      <c r="DR80" s="11"/>
    </row>
    <row r="81" spans="7:122" x14ac:dyDescent="0.3">
      <c r="G81" s="18"/>
      <c r="DP81" s="10"/>
      <c r="DR81" s="11"/>
    </row>
    <row r="82" spans="7:122" x14ac:dyDescent="0.3">
      <c r="G82" s="18"/>
      <c r="DP82" s="10"/>
      <c r="DR82" s="11"/>
    </row>
    <row r="83" spans="7:122" x14ac:dyDescent="0.3">
      <c r="G83" s="18"/>
      <c r="DP83" s="10"/>
      <c r="DR83" s="11"/>
    </row>
    <row r="84" spans="7:122" x14ac:dyDescent="0.3">
      <c r="G84" s="18"/>
      <c r="DP84" s="10"/>
      <c r="DR84" s="11"/>
    </row>
    <row r="85" spans="7:122" x14ac:dyDescent="0.3">
      <c r="G85" s="18"/>
      <c r="DP85" s="10"/>
      <c r="DR85" s="11"/>
    </row>
    <row r="86" spans="7:122" x14ac:dyDescent="0.3">
      <c r="DP86" s="10"/>
      <c r="DR86" s="11"/>
    </row>
    <row r="87" spans="7:122" x14ac:dyDescent="0.3">
      <c r="DP87" s="10"/>
      <c r="DR87" s="11"/>
    </row>
    <row r="88" spans="7:122" x14ac:dyDescent="0.3">
      <c r="DR88" s="11"/>
    </row>
    <row r="89" spans="7:122" x14ac:dyDescent="0.3">
      <c r="DR89" s="11"/>
    </row>
    <row r="90" spans="7:122" x14ac:dyDescent="0.3">
      <c r="DR90" s="11"/>
    </row>
    <row r="91" spans="7:122" x14ac:dyDescent="0.3">
      <c r="DR91" s="11"/>
    </row>
    <row r="92" spans="7:122" x14ac:dyDescent="0.3">
      <c r="DR92" s="11"/>
    </row>
    <row r="93" spans="7:122" x14ac:dyDescent="0.3">
      <c r="DR93" s="11"/>
    </row>
    <row r="94" spans="7:122" x14ac:dyDescent="0.3">
      <c r="DR94" s="11"/>
    </row>
    <row r="95" spans="7:122" x14ac:dyDescent="0.3">
      <c r="DR95" s="11"/>
    </row>
    <row r="96" spans="7:122" x14ac:dyDescent="0.3">
      <c r="DR96" s="11"/>
    </row>
    <row r="97" spans="122:122" x14ac:dyDescent="0.3">
      <c r="DR97" s="11"/>
    </row>
    <row r="98" spans="122:122" x14ac:dyDescent="0.3">
      <c r="DR98" s="11"/>
    </row>
    <row r="99" spans="122:122" x14ac:dyDescent="0.3">
      <c r="DR99" s="11"/>
    </row>
    <row r="100" spans="122:122" x14ac:dyDescent="0.3">
      <c r="DR100" s="11"/>
    </row>
    <row r="101" spans="122:122" x14ac:dyDescent="0.3">
      <c r="DR101" s="11"/>
    </row>
    <row r="102" spans="122:122" x14ac:dyDescent="0.3">
      <c r="DR102" s="11"/>
    </row>
    <row r="1048576" spans="9:83" x14ac:dyDescent="0.3">
      <c r="I1048576" s="35"/>
      <c r="M1048576" s="35"/>
      <c r="BJ1048576" s="11"/>
      <c r="CA1048576" s="11"/>
      <c r="CE1048576" s="11"/>
    </row>
  </sheetData>
  <sortState ref="A3:E8">
    <sortCondition ref="A3:A8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33"/>
  <sheetViews>
    <sheetView workbookViewId="0">
      <selection activeCell="A4" sqref="A4:L4"/>
    </sheetView>
  </sheetViews>
  <sheetFormatPr defaultRowHeight="14.4" x14ac:dyDescent="0.3"/>
  <cols>
    <col min="1" max="1" width="2.88671875" bestFit="1" customWidth="1" collapsed="1"/>
    <col min="2" max="2" width="7.21875" customWidth="1" collapsed="1"/>
    <col min="3" max="3" width="8.21875" customWidth="1" collapsed="1"/>
    <col min="20" max="20" width="20.77734375" bestFit="1" customWidth="1" collapsed="1"/>
  </cols>
  <sheetData>
    <row r="1" spans="1:22" ht="21.6" x14ac:dyDescent="0.65">
      <c r="B1" s="38" t="s">
        <v>95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22" x14ac:dyDescent="0.3">
      <c r="B2" s="1" t="s">
        <v>0</v>
      </c>
      <c r="C2" s="1">
        <v>4</v>
      </c>
      <c r="D2" s="1" t="s">
        <v>78</v>
      </c>
      <c r="E2" s="1">
        <v>3</v>
      </c>
      <c r="F2" s="1" t="s">
        <v>7</v>
      </c>
      <c r="G2" s="1">
        <v>4</v>
      </c>
      <c r="H2" s="1" t="s">
        <v>8</v>
      </c>
      <c r="I2" s="1">
        <v>4</v>
      </c>
      <c r="J2" s="1" t="s">
        <v>9</v>
      </c>
      <c r="K2" s="1">
        <v>4</v>
      </c>
      <c r="L2" s="1" t="s">
        <v>10</v>
      </c>
      <c r="M2" s="1">
        <v>4</v>
      </c>
      <c r="N2" s="1" t="s">
        <v>11</v>
      </c>
      <c r="O2" s="1">
        <v>5</v>
      </c>
      <c r="P2" s="1" t="s">
        <v>12</v>
      </c>
      <c r="Q2" s="1">
        <v>10</v>
      </c>
      <c r="T2" t="s">
        <v>21</v>
      </c>
      <c r="U2" s="1" t="s">
        <v>0</v>
      </c>
      <c r="V2">
        <v>4</v>
      </c>
    </row>
    <row r="3" spans="1:22" x14ac:dyDescent="0.3">
      <c r="B3" s="1" t="s">
        <v>97</v>
      </c>
      <c r="C3" s="1" t="s">
        <v>96</v>
      </c>
      <c r="D3" s="1" t="s">
        <v>97</v>
      </c>
      <c r="E3" s="1" t="s">
        <v>96</v>
      </c>
      <c r="F3" s="1" t="s">
        <v>97</v>
      </c>
      <c r="G3" s="1" t="s">
        <v>96</v>
      </c>
      <c r="H3" s="1" t="s">
        <v>97</v>
      </c>
      <c r="I3" s="1" t="s">
        <v>96</v>
      </c>
      <c r="J3" s="1" t="s">
        <v>97</v>
      </c>
      <c r="K3" s="1" t="s">
        <v>96</v>
      </c>
      <c r="L3" s="1" t="s">
        <v>97</v>
      </c>
      <c r="M3" s="1" t="s">
        <v>96</v>
      </c>
      <c r="N3" s="1" t="s">
        <v>97</v>
      </c>
      <c r="O3" s="1" t="s">
        <v>96</v>
      </c>
      <c r="P3" s="1" t="s">
        <v>97</v>
      </c>
      <c r="Q3" s="1" t="s">
        <v>96</v>
      </c>
      <c r="T3" t="s">
        <v>22</v>
      </c>
      <c r="U3" s="1" t="s">
        <v>1</v>
      </c>
      <c r="V3">
        <v>3</v>
      </c>
    </row>
    <row r="4" spans="1:22" x14ac:dyDescent="0.3">
      <c r="A4">
        <v>0</v>
      </c>
      <c r="B4">
        <v>56</v>
      </c>
      <c r="C4">
        <v>35</v>
      </c>
      <c r="D4">
        <v>40</v>
      </c>
      <c r="E4">
        <v>28</v>
      </c>
      <c r="F4">
        <v>45</v>
      </c>
      <c r="G4">
        <v>28</v>
      </c>
      <c r="H4">
        <v>51</v>
      </c>
      <c r="I4">
        <v>28</v>
      </c>
      <c r="J4">
        <v>62</v>
      </c>
      <c r="K4">
        <v>39</v>
      </c>
      <c r="L4">
        <v>53</v>
      </c>
      <c r="M4">
        <v>32</v>
      </c>
      <c r="N4">
        <v>52</v>
      </c>
      <c r="O4">
        <v>38</v>
      </c>
      <c r="P4">
        <v>55</v>
      </c>
      <c r="Q4">
        <v>29</v>
      </c>
      <c r="T4" t="s">
        <v>23</v>
      </c>
      <c r="U4" s="1" t="s">
        <v>7</v>
      </c>
      <c r="V4">
        <v>4</v>
      </c>
    </row>
    <row r="5" spans="1:22" x14ac:dyDescent="0.3">
      <c r="A5">
        <v>1</v>
      </c>
      <c r="B5">
        <v>62</v>
      </c>
      <c r="C5">
        <v>35</v>
      </c>
      <c r="D5">
        <v>50</v>
      </c>
      <c r="E5">
        <v>37</v>
      </c>
      <c r="F5">
        <v>57</v>
      </c>
      <c r="G5">
        <v>32</v>
      </c>
      <c r="H5">
        <v>44</v>
      </c>
      <c r="I5">
        <v>33</v>
      </c>
      <c r="J5">
        <v>59</v>
      </c>
      <c r="K5">
        <v>37</v>
      </c>
      <c r="L5">
        <v>46</v>
      </c>
      <c r="M5">
        <v>27</v>
      </c>
      <c r="N5">
        <v>47</v>
      </c>
      <c r="O5">
        <v>29</v>
      </c>
      <c r="P5">
        <v>62</v>
      </c>
      <c r="Q5">
        <v>27</v>
      </c>
      <c r="T5" t="s">
        <v>2</v>
      </c>
      <c r="U5" s="1" t="s">
        <v>8</v>
      </c>
      <c r="V5">
        <v>4</v>
      </c>
    </row>
    <row r="6" spans="1:22" x14ac:dyDescent="0.3">
      <c r="A6">
        <v>2</v>
      </c>
      <c r="B6">
        <v>54</v>
      </c>
      <c r="C6">
        <v>33</v>
      </c>
      <c r="D6">
        <v>57</v>
      </c>
      <c r="E6">
        <v>37</v>
      </c>
      <c r="F6">
        <v>59</v>
      </c>
      <c r="G6">
        <v>35</v>
      </c>
      <c r="H6">
        <v>45</v>
      </c>
      <c r="I6">
        <v>31</v>
      </c>
      <c r="J6">
        <v>57</v>
      </c>
      <c r="K6">
        <v>32</v>
      </c>
      <c r="L6">
        <v>57</v>
      </c>
      <c r="M6">
        <v>27</v>
      </c>
      <c r="N6">
        <v>59</v>
      </c>
      <c r="O6">
        <v>37</v>
      </c>
      <c r="P6">
        <v>61</v>
      </c>
      <c r="Q6">
        <v>27</v>
      </c>
      <c r="T6" t="s">
        <v>24</v>
      </c>
      <c r="U6" s="1" t="s">
        <v>9</v>
      </c>
      <c r="V6">
        <v>4</v>
      </c>
    </row>
    <row r="7" spans="1:22" x14ac:dyDescent="0.3">
      <c r="A7">
        <v>3</v>
      </c>
      <c r="B7">
        <v>53</v>
      </c>
      <c r="C7">
        <v>25</v>
      </c>
      <c r="D7" t="s">
        <v>1196</v>
      </c>
      <c r="E7" t="s">
        <v>1196</v>
      </c>
      <c r="F7">
        <v>59</v>
      </c>
      <c r="G7">
        <v>32</v>
      </c>
      <c r="H7">
        <v>50</v>
      </c>
      <c r="I7">
        <v>29</v>
      </c>
      <c r="J7">
        <v>60</v>
      </c>
      <c r="K7">
        <v>33</v>
      </c>
      <c r="L7">
        <v>58</v>
      </c>
      <c r="M7">
        <v>27</v>
      </c>
      <c r="N7">
        <v>56</v>
      </c>
      <c r="O7">
        <v>39</v>
      </c>
      <c r="P7">
        <v>56</v>
      </c>
      <c r="Q7">
        <v>29</v>
      </c>
      <c r="T7" t="s">
        <v>3</v>
      </c>
      <c r="U7" s="1" t="s">
        <v>10</v>
      </c>
      <c r="V7">
        <v>4</v>
      </c>
    </row>
    <row r="8" spans="1:22" x14ac:dyDescent="0.3">
      <c r="A8">
        <v>4</v>
      </c>
      <c r="B8" t="s">
        <v>1196</v>
      </c>
      <c r="C8" t="s">
        <v>1196</v>
      </c>
      <c r="D8" t="s">
        <v>1196</v>
      </c>
      <c r="E8" t="s">
        <v>1196</v>
      </c>
      <c r="F8" t="s">
        <v>1196</v>
      </c>
      <c r="G8" t="s">
        <v>1196</v>
      </c>
      <c r="H8" t="s">
        <v>1196</v>
      </c>
      <c r="I8" t="s">
        <v>1196</v>
      </c>
      <c r="J8" t="s">
        <v>1196</v>
      </c>
      <c r="K8" t="s">
        <v>1196</v>
      </c>
      <c r="L8" t="s">
        <v>1196</v>
      </c>
      <c r="M8" t="s">
        <v>1196</v>
      </c>
      <c r="N8">
        <v>56</v>
      </c>
      <c r="O8">
        <v>34</v>
      </c>
      <c r="P8">
        <v>54</v>
      </c>
      <c r="Q8">
        <v>33</v>
      </c>
      <c r="T8" t="s">
        <v>25</v>
      </c>
      <c r="U8" s="1" t="s">
        <v>11</v>
      </c>
      <c r="V8">
        <v>5</v>
      </c>
    </row>
    <row r="9" spans="1:22" x14ac:dyDescent="0.3">
      <c r="A9">
        <v>5</v>
      </c>
      <c r="B9" t="s">
        <v>1196</v>
      </c>
      <c r="C9" t="s">
        <v>1196</v>
      </c>
      <c r="D9" t="s">
        <v>1196</v>
      </c>
      <c r="E9" t="s">
        <v>1196</v>
      </c>
      <c r="F9" t="s">
        <v>1196</v>
      </c>
      <c r="G9" t="s">
        <v>1196</v>
      </c>
      <c r="H9" t="s">
        <v>1196</v>
      </c>
      <c r="I9" t="s">
        <v>1196</v>
      </c>
      <c r="J9" t="s">
        <v>1196</v>
      </c>
      <c r="K9" t="s">
        <v>1196</v>
      </c>
      <c r="L9" t="s">
        <v>1196</v>
      </c>
      <c r="M9" t="s">
        <v>1196</v>
      </c>
      <c r="N9" t="s">
        <v>1196</v>
      </c>
      <c r="O9" t="s">
        <v>1196</v>
      </c>
      <c r="P9">
        <v>62</v>
      </c>
      <c r="Q9">
        <v>27</v>
      </c>
      <c r="T9" t="s">
        <v>4</v>
      </c>
      <c r="U9" s="1" t="s">
        <v>12</v>
      </c>
      <c r="V9">
        <v>10</v>
      </c>
    </row>
    <row r="10" spans="1:22" x14ac:dyDescent="0.3">
      <c r="A10">
        <v>6</v>
      </c>
      <c r="B10" t="s">
        <v>1196</v>
      </c>
      <c r="C10" t="s">
        <v>1196</v>
      </c>
      <c r="D10" t="s">
        <v>1196</v>
      </c>
      <c r="E10" t="s">
        <v>1196</v>
      </c>
      <c r="F10" t="s">
        <v>1196</v>
      </c>
      <c r="G10" t="s">
        <v>1196</v>
      </c>
      <c r="H10" t="s">
        <v>1196</v>
      </c>
      <c r="I10" t="s">
        <v>1196</v>
      </c>
      <c r="J10" t="s">
        <v>1196</v>
      </c>
      <c r="K10" t="s">
        <v>1196</v>
      </c>
      <c r="L10" t="s">
        <v>1196</v>
      </c>
      <c r="M10" t="s">
        <v>1196</v>
      </c>
      <c r="N10" t="s">
        <v>1196</v>
      </c>
      <c r="O10" t="s">
        <v>1196</v>
      </c>
      <c r="P10">
        <v>62</v>
      </c>
      <c r="Q10">
        <v>26</v>
      </c>
    </row>
    <row r="11" spans="1:22" x14ac:dyDescent="0.3">
      <c r="A11">
        <v>7</v>
      </c>
      <c r="B11" t="s">
        <v>1196</v>
      </c>
      <c r="C11" t="s">
        <v>1196</v>
      </c>
      <c r="D11" t="s">
        <v>1196</v>
      </c>
      <c r="E11" t="s">
        <v>1196</v>
      </c>
      <c r="F11" t="s">
        <v>1196</v>
      </c>
      <c r="G11" t="s">
        <v>1196</v>
      </c>
      <c r="H11" t="s">
        <v>1196</v>
      </c>
      <c r="I11" t="s">
        <v>1196</v>
      </c>
      <c r="J11" t="s">
        <v>1196</v>
      </c>
      <c r="K11" t="s">
        <v>1196</v>
      </c>
      <c r="L11" t="s">
        <v>1196</v>
      </c>
      <c r="M11" t="s">
        <v>1196</v>
      </c>
      <c r="N11" t="s">
        <v>1196</v>
      </c>
      <c r="O11" t="s">
        <v>1196</v>
      </c>
      <c r="P11">
        <v>57</v>
      </c>
      <c r="Q11">
        <v>37</v>
      </c>
    </row>
    <row r="12" spans="1:22" x14ac:dyDescent="0.3">
      <c r="A12">
        <v>8</v>
      </c>
      <c r="B12" t="s">
        <v>1196</v>
      </c>
      <c r="C12" t="s">
        <v>1196</v>
      </c>
      <c r="D12" t="s">
        <v>1196</v>
      </c>
      <c r="E12" t="s">
        <v>1196</v>
      </c>
      <c r="F12" t="s">
        <v>1196</v>
      </c>
      <c r="G12" t="s">
        <v>1196</v>
      </c>
      <c r="H12" t="s">
        <v>1196</v>
      </c>
      <c r="I12" t="s">
        <v>1196</v>
      </c>
      <c r="J12" t="s">
        <v>1196</v>
      </c>
      <c r="K12" t="s">
        <v>1196</v>
      </c>
      <c r="L12" t="s">
        <v>1196</v>
      </c>
      <c r="M12" t="s">
        <v>1196</v>
      </c>
      <c r="N12" t="s">
        <v>1196</v>
      </c>
      <c r="O12" t="s">
        <v>1196</v>
      </c>
      <c r="P12">
        <v>52</v>
      </c>
      <c r="Q12">
        <v>38</v>
      </c>
    </row>
    <row r="13" spans="1:22" x14ac:dyDescent="0.3">
      <c r="A13">
        <v>9</v>
      </c>
      <c r="B13" t="s">
        <v>1196</v>
      </c>
      <c r="C13" t="s">
        <v>1196</v>
      </c>
      <c r="D13" t="s">
        <v>1196</v>
      </c>
      <c r="E13" t="s">
        <v>1196</v>
      </c>
      <c r="F13" t="s">
        <v>1196</v>
      </c>
      <c r="G13" t="s">
        <v>1196</v>
      </c>
      <c r="H13" t="s">
        <v>1196</v>
      </c>
      <c r="I13" t="s">
        <v>1196</v>
      </c>
      <c r="J13" t="s">
        <v>1196</v>
      </c>
      <c r="K13" t="s">
        <v>1196</v>
      </c>
      <c r="L13" t="s">
        <v>1196</v>
      </c>
      <c r="M13" t="s">
        <v>1196</v>
      </c>
      <c r="N13" t="s">
        <v>1196</v>
      </c>
      <c r="O13" t="s">
        <v>1196</v>
      </c>
      <c r="P13">
        <v>57</v>
      </c>
      <c r="Q13">
        <v>38</v>
      </c>
    </row>
    <row r="14" spans="1:22" x14ac:dyDescent="0.3">
      <c r="A14">
        <v>10</v>
      </c>
      <c r="B14" t="str">
        <f t="shared" ref="B14" ca="1" si="0">IF($A14&lt;=C$2, RANDBETWEEN(44, 62),"")</f>
        <v/>
      </c>
      <c r="C14" t="str">
        <f t="shared" ref="C14:Q22" ca="1" si="1">IF($A14&lt;=C$2, RANDBETWEEN(25, 39),"")</f>
        <v/>
      </c>
      <c r="D14" t="str">
        <f t="shared" ref="D14" ca="1" si="2">IF($A14&lt;=E$2, RANDBETWEEN(44, 62),"")</f>
        <v/>
      </c>
      <c r="E14" t="str">
        <f t="shared" ca="1" si="1"/>
        <v/>
      </c>
      <c r="F14" t="str">
        <f t="shared" ref="F14" ca="1" si="3">IF($A14&lt;=G$2, RANDBETWEEN(44, 62),"")</f>
        <v/>
      </c>
      <c r="G14" t="str">
        <f t="shared" ca="1" si="1"/>
        <v/>
      </c>
      <c r="H14" t="str">
        <f t="shared" ref="H14" ca="1" si="4">IF($A14&lt;=I$2, RANDBETWEEN(44, 62),"")</f>
        <v/>
      </c>
      <c r="I14" t="str">
        <f t="shared" ca="1" si="1"/>
        <v/>
      </c>
      <c r="J14" t="str">
        <f t="shared" ref="J14" ca="1" si="5">IF($A14&lt;=K$2, RANDBETWEEN(44, 62),"")</f>
        <v/>
      </c>
      <c r="K14" t="str">
        <f t="shared" ca="1" si="1"/>
        <v/>
      </c>
      <c r="L14" t="str">
        <f t="shared" ref="L14" ca="1" si="6">IF($A14&lt;=M$2, RANDBETWEEN(44, 62),"")</f>
        <v/>
      </c>
      <c r="M14" t="str">
        <f t="shared" ca="1" si="1"/>
        <v/>
      </c>
      <c r="N14" t="str">
        <f t="shared" ref="N14" ca="1" si="7">IF($A14&lt;=O$2, RANDBETWEEN(44, 62),"")</f>
        <v/>
      </c>
      <c r="O14" t="str">
        <f t="shared" ca="1" si="1"/>
        <v/>
      </c>
      <c r="P14">
        <f t="shared" ref="P14" ca="1" si="8">IF($A14&lt;=Q$2, RANDBETWEEN(44, 62),"")</f>
        <v>48</v>
      </c>
      <c r="Q14">
        <f t="shared" ca="1" si="1"/>
        <v>33</v>
      </c>
    </row>
    <row r="15" spans="1:22" x14ac:dyDescent="0.3">
      <c r="A15">
        <v>11</v>
      </c>
      <c r="B15" t="str">
        <f t="shared" ref="B15" ca="1" si="9">IF($A15&lt;=C$2, RANDBETWEEN(44, 62),"")</f>
        <v/>
      </c>
      <c r="C15" t="str">
        <f t="shared" ca="1" si="1"/>
        <v/>
      </c>
      <c r="D15" t="str">
        <f t="shared" ref="D15" ca="1" si="10">IF($A15&lt;=E$2, RANDBETWEEN(44, 62),"")</f>
        <v/>
      </c>
      <c r="E15" t="str">
        <f t="shared" ca="1" si="1"/>
        <v/>
      </c>
      <c r="F15" t="str">
        <f t="shared" ref="F15" ca="1" si="11">IF($A15&lt;=G$2, RANDBETWEEN(44, 62),"")</f>
        <v/>
      </c>
      <c r="G15" t="str">
        <f t="shared" ca="1" si="1"/>
        <v/>
      </c>
      <c r="H15" t="str">
        <f t="shared" ref="H15" ca="1" si="12">IF($A15&lt;=I$2, RANDBETWEEN(44, 62),"")</f>
        <v/>
      </c>
      <c r="I15" t="str">
        <f t="shared" ca="1" si="1"/>
        <v/>
      </c>
      <c r="J15" t="str">
        <f t="shared" ref="J15" ca="1" si="13">IF($A15&lt;=K$2, RANDBETWEEN(44, 62),"")</f>
        <v/>
      </c>
      <c r="K15" t="str">
        <f t="shared" ca="1" si="1"/>
        <v/>
      </c>
      <c r="L15" t="str">
        <f t="shared" ref="L15" ca="1" si="14">IF($A15&lt;=M$2, RANDBETWEEN(44, 62),"")</f>
        <v/>
      </c>
      <c r="M15" t="str">
        <f t="shared" ca="1" si="1"/>
        <v/>
      </c>
      <c r="N15" t="str">
        <f t="shared" ref="N15" ca="1" si="15">IF($A15&lt;=O$2, RANDBETWEEN(44, 62),"")</f>
        <v/>
      </c>
      <c r="O15" t="str">
        <f t="shared" ca="1" si="1"/>
        <v/>
      </c>
      <c r="P15" t="str">
        <f t="shared" ref="P15" ca="1" si="16">IF($A15&lt;=Q$2, RANDBETWEEN(44, 62),"")</f>
        <v/>
      </c>
      <c r="Q15" t="str">
        <f t="shared" ca="1" si="1"/>
        <v/>
      </c>
    </row>
    <row r="16" spans="1:22" x14ac:dyDescent="0.3">
      <c r="A16">
        <v>12</v>
      </c>
      <c r="B16" t="str">
        <f t="shared" ref="B16" ca="1" si="17">IF($A16&lt;=C$2, RANDBETWEEN(44, 62),"")</f>
        <v/>
      </c>
      <c r="C16" t="str">
        <f t="shared" ca="1" si="1"/>
        <v/>
      </c>
      <c r="D16" t="str">
        <f t="shared" ref="D16" ca="1" si="18">IF($A16&lt;=E$2, RANDBETWEEN(44, 62),"")</f>
        <v/>
      </c>
      <c r="E16" t="str">
        <f t="shared" ca="1" si="1"/>
        <v/>
      </c>
      <c r="F16" t="str">
        <f t="shared" ref="F16" ca="1" si="19">IF($A16&lt;=G$2, RANDBETWEEN(44, 62),"")</f>
        <v/>
      </c>
      <c r="G16" t="str">
        <f t="shared" ca="1" si="1"/>
        <v/>
      </c>
      <c r="H16" t="str">
        <f t="shared" ref="H16" ca="1" si="20">IF($A16&lt;=I$2, RANDBETWEEN(44, 62),"")</f>
        <v/>
      </c>
      <c r="I16" t="str">
        <f t="shared" ca="1" si="1"/>
        <v/>
      </c>
      <c r="J16" t="str">
        <f t="shared" ref="J16" ca="1" si="21">IF($A16&lt;=K$2, RANDBETWEEN(44, 62),"")</f>
        <v/>
      </c>
      <c r="K16" t="str">
        <f t="shared" ca="1" si="1"/>
        <v/>
      </c>
      <c r="L16" t="str">
        <f t="shared" ref="L16" ca="1" si="22">IF($A16&lt;=M$2, RANDBETWEEN(44, 62),"")</f>
        <v/>
      </c>
      <c r="M16" t="str">
        <f t="shared" ca="1" si="1"/>
        <v/>
      </c>
      <c r="N16" t="str">
        <f t="shared" ref="N16" ca="1" si="23">IF($A16&lt;=O$2, RANDBETWEEN(44, 62),"")</f>
        <v/>
      </c>
      <c r="O16" t="str">
        <f t="shared" ca="1" si="1"/>
        <v/>
      </c>
      <c r="P16" t="str">
        <f t="shared" ref="P16" ca="1" si="24">IF($A16&lt;=Q$2, RANDBETWEEN(44, 62),"")</f>
        <v/>
      </c>
      <c r="Q16" t="str">
        <f t="shared" ca="1" si="1"/>
        <v/>
      </c>
    </row>
    <row r="17" spans="1:17" x14ac:dyDescent="0.3">
      <c r="A17">
        <v>13</v>
      </c>
      <c r="B17" t="str">
        <f t="shared" ref="B17" ca="1" si="25">IF($A17&lt;=C$2, RANDBETWEEN(44, 62),"")</f>
        <v/>
      </c>
      <c r="C17" t="str">
        <f t="shared" ca="1" si="1"/>
        <v/>
      </c>
      <c r="D17" t="str">
        <f t="shared" ref="D17" ca="1" si="26">IF($A17&lt;=E$2, RANDBETWEEN(44, 62),"")</f>
        <v/>
      </c>
      <c r="E17" t="str">
        <f t="shared" ca="1" si="1"/>
        <v/>
      </c>
      <c r="F17" t="str">
        <f t="shared" ref="F17" ca="1" si="27">IF($A17&lt;=G$2, RANDBETWEEN(44, 62),"")</f>
        <v/>
      </c>
      <c r="G17" t="str">
        <f t="shared" ca="1" si="1"/>
        <v/>
      </c>
      <c r="H17" t="str">
        <f t="shared" ref="H17" ca="1" si="28">IF($A17&lt;=I$2, RANDBETWEEN(44, 62),"")</f>
        <v/>
      </c>
      <c r="I17" t="str">
        <f t="shared" ca="1" si="1"/>
        <v/>
      </c>
      <c r="J17" t="str">
        <f t="shared" ref="J17" ca="1" si="29">IF($A17&lt;=K$2, RANDBETWEEN(44, 62),"")</f>
        <v/>
      </c>
      <c r="K17" t="str">
        <f t="shared" ca="1" si="1"/>
        <v/>
      </c>
      <c r="L17" t="str">
        <f t="shared" ref="L17" ca="1" si="30">IF($A17&lt;=M$2, RANDBETWEEN(44, 62),"")</f>
        <v/>
      </c>
      <c r="M17" t="str">
        <f t="shared" ca="1" si="1"/>
        <v/>
      </c>
      <c r="N17" t="str">
        <f t="shared" ref="N17" ca="1" si="31">IF($A17&lt;=O$2, RANDBETWEEN(44, 62),"")</f>
        <v/>
      </c>
      <c r="O17" t="str">
        <f t="shared" ca="1" si="1"/>
        <v/>
      </c>
      <c r="P17" t="str">
        <f t="shared" ref="P17" ca="1" si="32">IF($A17&lt;=Q$2, RANDBETWEEN(44, 62),"")</f>
        <v/>
      </c>
      <c r="Q17" t="str">
        <f t="shared" ca="1" si="1"/>
        <v/>
      </c>
    </row>
    <row r="18" spans="1:17" x14ac:dyDescent="0.3">
      <c r="A18">
        <v>14</v>
      </c>
      <c r="B18" t="str">
        <f t="shared" ref="B18" ca="1" si="33">IF($A18&lt;=C$2, RANDBETWEEN(44, 62),"")</f>
        <v/>
      </c>
      <c r="C18" t="str">
        <f t="shared" ca="1" si="1"/>
        <v/>
      </c>
      <c r="D18" t="str">
        <f t="shared" ref="D18" ca="1" si="34">IF($A18&lt;=E$2, RANDBETWEEN(44, 62),"")</f>
        <v/>
      </c>
      <c r="E18" t="str">
        <f t="shared" ca="1" si="1"/>
        <v/>
      </c>
      <c r="F18" t="str">
        <f t="shared" ref="F18" ca="1" si="35">IF($A18&lt;=G$2, RANDBETWEEN(44, 62),"")</f>
        <v/>
      </c>
      <c r="G18" t="str">
        <f t="shared" ca="1" si="1"/>
        <v/>
      </c>
      <c r="H18" t="str">
        <f t="shared" ref="H18" ca="1" si="36">IF($A18&lt;=I$2, RANDBETWEEN(44, 62),"")</f>
        <v/>
      </c>
      <c r="I18" t="str">
        <f t="shared" ca="1" si="1"/>
        <v/>
      </c>
      <c r="J18" t="str">
        <f t="shared" ref="J18" ca="1" si="37">IF($A18&lt;=K$2, RANDBETWEEN(44, 62),"")</f>
        <v/>
      </c>
      <c r="K18" t="str">
        <f t="shared" ca="1" si="1"/>
        <v/>
      </c>
      <c r="L18" t="str">
        <f t="shared" ref="L18" ca="1" si="38">IF($A18&lt;=M$2, RANDBETWEEN(44, 62),"")</f>
        <v/>
      </c>
      <c r="M18" t="str">
        <f t="shared" ca="1" si="1"/>
        <v/>
      </c>
      <c r="N18" t="str">
        <f t="shared" ref="N18" ca="1" si="39">IF($A18&lt;=O$2, RANDBETWEEN(44, 62),"")</f>
        <v/>
      </c>
      <c r="O18" t="str">
        <f t="shared" ca="1" si="1"/>
        <v/>
      </c>
      <c r="P18" t="str">
        <f t="shared" ref="P18" ca="1" si="40">IF($A18&lt;=Q$2, RANDBETWEEN(44, 62),"")</f>
        <v/>
      </c>
      <c r="Q18" t="str">
        <f t="shared" ca="1" si="1"/>
        <v/>
      </c>
    </row>
    <row r="19" spans="1:17" x14ac:dyDescent="0.3">
      <c r="A19">
        <v>15</v>
      </c>
      <c r="B19" t="str">
        <f t="shared" ref="B19" ca="1" si="41">IF($A19&lt;=C$2, RANDBETWEEN(44, 62),"")</f>
        <v/>
      </c>
      <c r="C19" t="str">
        <f t="shared" ca="1" si="1"/>
        <v/>
      </c>
      <c r="D19" t="str">
        <f t="shared" ref="D19" ca="1" si="42">IF($A19&lt;=E$2, RANDBETWEEN(44, 62),"")</f>
        <v/>
      </c>
      <c r="E19" t="str">
        <f t="shared" ca="1" si="1"/>
        <v/>
      </c>
      <c r="F19" t="str">
        <f t="shared" ref="F19" ca="1" si="43">IF($A19&lt;=G$2, RANDBETWEEN(44, 62),"")</f>
        <v/>
      </c>
      <c r="G19" t="str">
        <f t="shared" ca="1" si="1"/>
        <v/>
      </c>
      <c r="H19" t="str">
        <f t="shared" ref="H19" ca="1" si="44">IF($A19&lt;=I$2, RANDBETWEEN(44, 62),"")</f>
        <v/>
      </c>
      <c r="I19" t="str">
        <f t="shared" ca="1" si="1"/>
        <v/>
      </c>
      <c r="J19" t="str">
        <f t="shared" ref="J19" ca="1" si="45">IF($A19&lt;=K$2, RANDBETWEEN(44, 62),"")</f>
        <v/>
      </c>
      <c r="K19" t="str">
        <f t="shared" ca="1" si="1"/>
        <v/>
      </c>
      <c r="L19" t="str">
        <f t="shared" ref="L19" ca="1" si="46">IF($A19&lt;=M$2, RANDBETWEEN(44, 62),"")</f>
        <v/>
      </c>
      <c r="M19" t="str">
        <f t="shared" ca="1" si="1"/>
        <v/>
      </c>
      <c r="N19" t="str">
        <f t="shared" ref="N19" ca="1" si="47">IF($A19&lt;=O$2, RANDBETWEEN(44, 62),"")</f>
        <v/>
      </c>
      <c r="O19" t="str">
        <f t="shared" ca="1" si="1"/>
        <v/>
      </c>
      <c r="P19" t="str">
        <f t="shared" ref="P19" ca="1" si="48">IF($A19&lt;=Q$2, RANDBETWEEN(44, 62),"")</f>
        <v/>
      </c>
      <c r="Q19" t="str">
        <f t="shared" ca="1" si="1"/>
        <v/>
      </c>
    </row>
    <row r="20" spans="1:17" x14ac:dyDescent="0.3">
      <c r="A20">
        <v>16</v>
      </c>
      <c r="B20" t="str">
        <f t="shared" ref="B20" ca="1" si="49">IF($A20&lt;=C$2, RANDBETWEEN(44, 62),"")</f>
        <v/>
      </c>
      <c r="C20" t="str">
        <f t="shared" ca="1" si="1"/>
        <v/>
      </c>
      <c r="D20" t="str">
        <f t="shared" ref="D20" ca="1" si="50">IF($A20&lt;=E$2, RANDBETWEEN(44, 62),"")</f>
        <v/>
      </c>
      <c r="E20" t="str">
        <f t="shared" ca="1" si="1"/>
        <v/>
      </c>
      <c r="F20" t="str">
        <f t="shared" ref="F20" ca="1" si="51">IF($A20&lt;=G$2, RANDBETWEEN(44, 62),"")</f>
        <v/>
      </c>
      <c r="G20" t="str">
        <f t="shared" ca="1" si="1"/>
        <v/>
      </c>
      <c r="H20" t="str">
        <f t="shared" ref="H20" ca="1" si="52">IF($A20&lt;=I$2, RANDBETWEEN(44, 62),"")</f>
        <v/>
      </c>
      <c r="I20" t="str">
        <f t="shared" ca="1" si="1"/>
        <v/>
      </c>
      <c r="J20" t="str">
        <f t="shared" ref="J20" ca="1" si="53">IF($A20&lt;=K$2, RANDBETWEEN(44, 62),"")</f>
        <v/>
      </c>
      <c r="K20" t="str">
        <f t="shared" ca="1" si="1"/>
        <v/>
      </c>
      <c r="L20" t="str">
        <f t="shared" ref="L20" ca="1" si="54">IF($A20&lt;=M$2, RANDBETWEEN(44, 62),"")</f>
        <v/>
      </c>
      <c r="M20" t="str">
        <f t="shared" ca="1" si="1"/>
        <v/>
      </c>
      <c r="N20" t="str">
        <f t="shared" ref="N20" ca="1" si="55">IF($A20&lt;=O$2, RANDBETWEEN(44, 62),"")</f>
        <v/>
      </c>
      <c r="O20" t="str">
        <f t="shared" ca="1" si="1"/>
        <v/>
      </c>
      <c r="P20" t="str">
        <f t="shared" ref="P20" ca="1" si="56">IF($A20&lt;=Q$2, RANDBETWEEN(44, 62),"")</f>
        <v/>
      </c>
      <c r="Q20" t="str">
        <f t="shared" ca="1" si="1"/>
        <v/>
      </c>
    </row>
    <row r="21" spans="1:17" x14ac:dyDescent="0.3">
      <c r="A21">
        <v>17</v>
      </c>
      <c r="B21" t="str">
        <f t="shared" ref="B21" ca="1" si="57">IF($A21&lt;=C$2, RANDBETWEEN(44, 62),"")</f>
        <v/>
      </c>
      <c r="C21" t="str">
        <f t="shared" ca="1" si="1"/>
        <v/>
      </c>
      <c r="D21" t="str">
        <f t="shared" ref="D21" ca="1" si="58">IF($A21&lt;=E$2, RANDBETWEEN(44, 62),"")</f>
        <v/>
      </c>
      <c r="E21" t="str">
        <f t="shared" ca="1" si="1"/>
        <v/>
      </c>
      <c r="F21" t="str">
        <f t="shared" ref="F21" ca="1" si="59">IF($A21&lt;=G$2, RANDBETWEEN(44, 62),"")</f>
        <v/>
      </c>
      <c r="G21" t="str">
        <f t="shared" ca="1" si="1"/>
        <v/>
      </c>
      <c r="H21" t="str">
        <f t="shared" ref="H21" ca="1" si="60">IF($A21&lt;=I$2, RANDBETWEEN(44, 62),"")</f>
        <v/>
      </c>
      <c r="I21" t="str">
        <f t="shared" ca="1" si="1"/>
        <v/>
      </c>
      <c r="J21" t="str">
        <f t="shared" ref="J21" ca="1" si="61">IF($A21&lt;=K$2, RANDBETWEEN(44, 62),"")</f>
        <v/>
      </c>
      <c r="K21" t="str">
        <f t="shared" ca="1" si="1"/>
        <v/>
      </c>
      <c r="L21" t="str">
        <f t="shared" ref="L21" ca="1" si="62">IF($A21&lt;=M$2, RANDBETWEEN(44, 62),"")</f>
        <v/>
      </c>
      <c r="M21" t="str">
        <f t="shared" ca="1" si="1"/>
        <v/>
      </c>
      <c r="N21" t="str">
        <f t="shared" ref="N21" ca="1" si="63">IF($A21&lt;=O$2, RANDBETWEEN(44, 62),"")</f>
        <v/>
      </c>
      <c r="O21" t="str">
        <f t="shared" ca="1" si="1"/>
        <v/>
      </c>
      <c r="P21" t="str">
        <f t="shared" ref="P21" ca="1" si="64">IF($A21&lt;=Q$2, RANDBETWEEN(44, 62),"")</f>
        <v/>
      </c>
      <c r="Q21" t="str">
        <f t="shared" ca="1" si="1"/>
        <v/>
      </c>
    </row>
    <row r="22" spans="1:17" x14ac:dyDescent="0.3">
      <c r="A22">
        <v>18</v>
      </c>
      <c r="B22" t="str">
        <f t="shared" ref="B22" ca="1" si="65">IF($A22&lt;=C$2, RANDBETWEEN(44, 62),"")</f>
        <v/>
      </c>
      <c r="C22" t="str">
        <f t="shared" ca="1" si="1"/>
        <v/>
      </c>
      <c r="D22" t="str">
        <f t="shared" ref="D22" ca="1" si="66">IF($A22&lt;=E$2, RANDBETWEEN(44, 62),"")</f>
        <v/>
      </c>
      <c r="E22" t="str">
        <f t="shared" ca="1" si="1"/>
        <v/>
      </c>
      <c r="F22" t="str">
        <f t="shared" ref="F22" ca="1" si="67">IF($A22&lt;=G$2, RANDBETWEEN(44, 62),"")</f>
        <v/>
      </c>
      <c r="G22" t="str">
        <f t="shared" ca="1" si="1"/>
        <v/>
      </c>
      <c r="H22" t="str">
        <f t="shared" ref="H22" ca="1" si="68">IF($A22&lt;=I$2, RANDBETWEEN(44, 62),"")</f>
        <v/>
      </c>
      <c r="I22" t="str">
        <f t="shared" ca="1" si="1"/>
        <v/>
      </c>
      <c r="J22" t="str">
        <f t="shared" ref="J22" ca="1" si="69">IF($A22&lt;=K$2, RANDBETWEEN(44, 62),"")</f>
        <v/>
      </c>
      <c r="K22" t="str">
        <f t="shared" ca="1" si="1"/>
        <v/>
      </c>
      <c r="L22" t="str">
        <f t="shared" ref="L22" ca="1" si="70">IF($A22&lt;=M$2, RANDBETWEEN(44, 62),"")</f>
        <v/>
      </c>
      <c r="M22" t="str">
        <f t="shared" ca="1" si="1"/>
        <v/>
      </c>
      <c r="N22" t="str">
        <f t="shared" ref="N22" ca="1" si="71">IF($A22&lt;=O$2, RANDBETWEEN(44, 62),"")</f>
        <v/>
      </c>
      <c r="O22" t="str">
        <f t="shared" ca="1" si="1"/>
        <v/>
      </c>
      <c r="P22" t="str">
        <f t="shared" ref="P22" ca="1" si="72">IF($A22&lt;=Q$2, RANDBETWEEN(44, 62),"")</f>
        <v/>
      </c>
      <c r="Q22" t="str">
        <f t="shared" ca="1" si="1"/>
        <v/>
      </c>
    </row>
    <row r="23" spans="1:17" x14ac:dyDescent="0.3">
      <c r="A23">
        <v>19</v>
      </c>
      <c r="B23" t="str">
        <f t="shared" ref="B23" ca="1" si="73">IF($A23&lt;=C$2, RANDBETWEEN(44, 62),"")</f>
        <v/>
      </c>
      <c r="C23" t="str">
        <f t="shared" ref="C23:Q23" ca="1" si="74">IF($A23&lt;=C$2, RANDBETWEEN(25, 39),"")</f>
        <v/>
      </c>
      <c r="D23" t="str">
        <f t="shared" ref="D23" ca="1" si="75">IF($A23&lt;=E$2, RANDBETWEEN(44, 62),"")</f>
        <v/>
      </c>
      <c r="E23" t="str">
        <f t="shared" ca="1" si="74"/>
        <v/>
      </c>
      <c r="F23" t="str">
        <f t="shared" ref="F23" ca="1" si="76">IF($A23&lt;=G$2, RANDBETWEEN(44, 62),"")</f>
        <v/>
      </c>
      <c r="G23" t="str">
        <f t="shared" ca="1" si="74"/>
        <v/>
      </c>
      <c r="H23" t="str">
        <f t="shared" ref="H23" ca="1" si="77">IF($A23&lt;=I$2, RANDBETWEEN(44, 62),"")</f>
        <v/>
      </c>
      <c r="I23" t="str">
        <f t="shared" ca="1" si="74"/>
        <v/>
      </c>
      <c r="J23" t="str">
        <f t="shared" ref="J23" ca="1" si="78">IF($A23&lt;=K$2, RANDBETWEEN(44, 62),"")</f>
        <v/>
      </c>
      <c r="K23" t="str">
        <f t="shared" ca="1" si="74"/>
        <v/>
      </c>
      <c r="L23" t="str">
        <f t="shared" ref="L23" ca="1" si="79">IF($A23&lt;=M$2, RANDBETWEEN(44, 62),"")</f>
        <v/>
      </c>
      <c r="M23" t="str">
        <f t="shared" ca="1" si="74"/>
        <v/>
      </c>
      <c r="N23" t="str">
        <f t="shared" ref="N23" ca="1" si="80">IF($A23&lt;=O$2, RANDBETWEEN(44, 62),"")</f>
        <v/>
      </c>
      <c r="O23" t="str">
        <f t="shared" ca="1" si="74"/>
        <v/>
      </c>
      <c r="P23" t="str">
        <f t="shared" ref="P23" ca="1" si="81">IF($A23&lt;=Q$2, RANDBETWEEN(44, 62),"")</f>
        <v/>
      </c>
      <c r="Q23" t="str">
        <f t="shared" ca="1" si="74"/>
        <v/>
      </c>
    </row>
    <row r="24" spans="1:17" x14ac:dyDescent="0.3">
      <c r="B24" t="str">
        <f>CONCATENATE("[",B4,",",C4,"]")</f>
        <v>[56,35]</v>
      </c>
      <c r="D24" t="str">
        <f t="shared" ref="D24:P24" si="82">CONCATENATE("[",D4,",",E4,"]")</f>
        <v>[40,28]</v>
      </c>
      <c r="F24" t="str">
        <f t="shared" si="82"/>
        <v>[45,28]</v>
      </c>
      <c r="H24" t="str">
        <f t="shared" si="82"/>
        <v>[51,28]</v>
      </c>
      <c r="J24" t="str">
        <f t="shared" si="82"/>
        <v>[62,39]</v>
      </c>
      <c r="L24" t="str">
        <f t="shared" si="82"/>
        <v>[53,32]</v>
      </c>
      <c r="N24" t="str">
        <f t="shared" si="82"/>
        <v>[52,38]</v>
      </c>
      <c r="P24" t="str">
        <f t="shared" si="82"/>
        <v>[55,29]</v>
      </c>
    </row>
    <row r="25" spans="1:17" x14ac:dyDescent="0.3">
      <c r="B25" t="str">
        <f t="shared" ref="B25:B27" si="83">CONCATENATE("[",B5,",",C5,"]")</f>
        <v>[62,35]</v>
      </c>
      <c r="D25" t="str">
        <f t="shared" ref="D25" si="84">CONCATENATE("[",D5,",",E5,"]")</f>
        <v>[50,37]</v>
      </c>
      <c r="F25" t="str">
        <f t="shared" ref="F25" si="85">CONCATENATE("[",F5,",",G5,"]")</f>
        <v>[57,32]</v>
      </c>
      <c r="H25" t="str">
        <f t="shared" ref="H25" si="86">CONCATENATE("[",H5,",",I5,"]")</f>
        <v>[44,33]</v>
      </c>
      <c r="J25" t="str">
        <f t="shared" ref="J25" si="87">CONCATENATE("[",J5,",",K5,"]")</f>
        <v>[59,37]</v>
      </c>
      <c r="L25" t="str">
        <f t="shared" ref="L25" si="88">CONCATENATE("[",L5,",",M5,"]")</f>
        <v>[46,27]</v>
      </c>
      <c r="N25" t="str">
        <f t="shared" ref="N25" si="89">CONCATENATE("[",N5,",",O5,"]")</f>
        <v>[47,29]</v>
      </c>
      <c r="P25" t="str">
        <f t="shared" ref="P25" si="90">CONCATENATE("[",P5,",",Q5,"]")</f>
        <v>[62,27]</v>
      </c>
    </row>
    <row r="26" spans="1:17" x14ac:dyDescent="0.3">
      <c r="B26" t="str">
        <f t="shared" si="83"/>
        <v>[54,33]</v>
      </c>
      <c r="D26" t="str">
        <f t="shared" ref="D26" si="91">CONCATENATE("[",D6,",",E6,"]")</f>
        <v>[57,37]</v>
      </c>
      <c r="F26" t="str">
        <f t="shared" ref="F26" si="92">CONCATENATE("[",F6,",",G6,"]")</f>
        <v>[59,35]</v>
      </c>
      <c r="H26" t="str">
        <f t="shared" ref="H26" si="93">CONCATENATE("[",H6,",",I6,"]")</f>
        <v>[45,31]</v>
      </c>
      <c r="J26" t="str">
        <f t="shared" ref="J26" si="94">CONCATENATE("[",J6,",",K6,"]")</f>
        <v>[57,32]</v>
      </c>
      <c r="L26" t="str">
        <f t="shared" ref="L26" si="95">CONCATENATE("[",L6,",",M6,"]")</f>
        <v>[57,27]</v>
      </c>
      <c r="N26" t="str">
        <f t="shared" ref="N26" si="96">CONCATENATE("[",N6,",",O6,"]")</f>
        <v>[59,37]</v>
      </c>
      <c r="P26" t="str">
        <f t="shared" ref="P26" si="97">CONCATENATE("[",P6,",",Q6,"]")</f>
        <v>[61,27]</v>
      </c>
    </row>
    <row r="27" spans="1:17" x14ac:dyDescent="0.3">
      <c r="B27" t="str">
        <f t="shared" si="83"/>
        <v>[53,25]</v>
      </c>
      <c r="F27" t="str">
        <f t="shared" ref="F27" si="98">CONCATENATE("[",F7,",",G7,"]")</f>
        <v>[59,32]</v>
      </c>
      <c r="H27" t="str">
        <f t="shared" ref="H27" si="99">CONCATENATE("[",H7,",",I7,"]")</f>
        <v>[50,29]</v>
      </c>
      <c r="J27" t="str">
        <f t="shared" ref="J27" si="100">CONCATENATE("[",J7,",",K7,"]")</f>
        <v>[60,33]</v>
      </c>
      <c r="L27" t="str">
        <f t="shared" ref="L27" si="101">CONCATENATE("[",L7,",",M7,"]")</f>
        <v>[58,27]</v>
      </c>
      <c r="N27" t="str">
        <f t="shared" ref="N27" si="102">CONCATENATE("[",N7,",",O7,"]")</f>
        <v>[56,39]</v>
      </c>
      <c r="P27" t="str">
        <f t="shared" ref="P27" si="103">CONCATENATE("[",P7,",",Q7,"]")</f>
        <v>[56,29]</v>
      </c>
    </row>
    <row r="28" spans="1:17" x14ac:dyDescent="0.3">
      <c r="N28" t="str">
        <f t="shared" ref="N28" si="104">CONCATENATE("[",N8,",",O8,"]")</f>
        <v>[56,34]</v>
      </c>
      <c r="P28" t="str">
        <f t="shared" ref="P28" si="105">CONCATENATE("[",P8,",",Q8,"]")</f>
        <v>[54,33]</v>
      </c>
    </row>
    <row r="29" spans="1:17" x14ac:dyDescent="0.3">
      <c r="P29" t="str">
        <f t="shared" ref="P29" si="106">CONCATENATE("[",P9,",",Q9,"]")</f>
        <v>[62,27]</v>
      </c>
    </row>
    <row r="30" spans="1:17" x14ac:dyDescent="0.3">
      <c r="P30" t="str">
        <f t="shared" ref="P30" si="107">CONCATENATE("[",P10,",",Q10,"]")</f>
        <v>[62,26]</v>
      </c>
    </row>
    <row r="31" spans="1:17" x14ac:dyDescent="0.3">
      <c r="P31" t="str">
        <f t="shared" ref="P31" si="108">CONCATENATE("[",P11,",",Q11,"]")</f>
        <v>[57,37]</v>
      </c>
    </row>
    <row r="32" spans="1:17" x14ac:dyDescent="0.3">
      <c r="P32" t="str">
        <f t="shared" ref="P32" si="109">CONCATENATE("[",P12,",",Q12,"]")</f>
        <v>[52,38]</v>
      </c>
    </row>
    <row r="33" spans="16:16" x14ac:dyDescent="0.3">
      <c r="P33" t="str">
        <f t="shared" ref="P33" si="110">CONCATENATE("[",P13,",",Q13,"]")</f>
        <v>[57,38]</v>
      </c>
    </row>
  </sheetData>
  <mergeCells count="1">
    <mergeCell ref="B1:Q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022"/>
  <sheetViews>
    <sheetView topLeftCell="A163" workbookViewId="0">
      <selection activeCell="D184" sqref="D184"/>
    </sheetView>
  </sheetViews>
  <sheetFormatPr defaultRowHeight="14.4" x14ac:dyDescent="0.3"/>
  <cols>
    <col min="3" max="3" width="11" bestFit="1" customWidth="1" collapsed="1"/>
    <col min="4" max="4" width="9.88671875" bestFit="1" customWidth="1" collapsed="1"/>
  </cols>
  <sheetData>
    <row r="1" spans="1:5" x14ac:dyDescent="0.3">
      <c r="A1" t="s">
        <v>98</v>
      </c>
      <c r="B1" t="s">
        <v>99</v>
      </c>
      <c r="C1" t="s">
        <v>100</v>
      </c>
      <c r="D1" t="s">
        <v>101</v>
      </c>
    </row>
    <row r="2" spans="1:5" x14ac:dyDescent="0.3">
      <c r="A2" t="s">
        <v>102</v>
      </c>
      <c r="B2" t="s">
        <v>103</v>
      </c>
      <c r="C2" s="23">
        <v>39.042881000000001</v>
      </c>
      <c r="D2" s="23">
        <v>47.754331000000001</v>
      </c>
      <c r="E2" s="23"/>
    </row>
    <row r="3" spans="1:5" x14ac:dyDescent="0.3">
      <c r="A3" t="s">
        <v>102</v>
      </c>
      <c r="B3" t="s">
        <v>104</v>
      </c>
      <c r="C3" s="23">
        <v>37.624718999999999</v>
      </c>
      <c r="D3" s="24">
        <v>48.531350000000003</v>
      </c>
    </row>
    <row r="4" spans="1:5" x14ac:dyDescent="0.3">
      <c r="A4" t="s">
        <v>102</v>
      </c>
      <c r="B4" t="s">
        <v>105</v>
      </c>
      <c r="C4" s="23">
        <v>37.388331000000001</v>
      </c>
      <c r="D4" s="24">
        <v>48.718649999999997</v>
      </c>
    </row>
    <row r="5" spans="1:5" x14ac:dyDescent="0.3">
      <c r="A5" t="s">
        <v>102</v>
      </c>
      <c r="B5" t="s">
        <v>106</v>
      </c>
      <c r="C5" s="23">
        <v>39.479506000000001</v>
      </c>
      <c r="D5" s="23">
        <v>48.064117000000003</v>
      </c>
    </row>
    <row r="6" spans="1:5" x14ac:dyDescent="0.3">
      <c r="A6" t="s">
        <v>102</v>
      </c>
      <c r="B6" t="s">
        <v>107</v>
      </c>
      <c r="C6" s="23">
        <v>37.686836</v>
      </c>
      <c r="D6" s="23">
        <v>48.337319000000001</v>
      </c>
    </row>
    <row r="7" spans="1:5" x14ac:dyDescent="0.3">
      <c r="A7" t="s">
        <v>102</v>
      </c>
      <c r="B7" t="s">
        <v>108</v>
      </c>
      <c r="C7" s="23">
        <v>38.398111</v>
      </c>
      <c r="D7" s="23">
        <v>47.677711000000002</v>
      </c>
    </row>
    <row r="8" spans="1:5" x14ac:dyDescent="0.3">
      <c r="A8" t="s">
        <v>102</v>
      </c>
      <c r="B8" t="s">
        <v>109</v>
      </c>
      <c r="C8" s="24">
        <v>38.489550000000001</v>
      </c>
      <c r="D8" s="25">
        <v>48.433700000000002</v>
      </c>
    </row>
    <row r="9" spans="1:5" x14ac:dyDescent="0.3">
      <c r="A9" t="s">
        <v>102</v>
      </c>
      <c r="B9" t="s">
        <v>110</v>
      </c>
      <c r="C9" s="23">
        <v>37.952705999999999</v>
      </c>
      <c r="D9" s="23">
        <v>48.233941999999999</v>
      </c>
    </row>
    <row r="10" spans="1:5" x14ac:dyDescent="0.3">
      <c r="A10" t="s">
        <v>102</v>
      </c>
      <c r="B10" t="s">
        <v>111</v>
      </c>
      <c r="C10" s="23">
        <v>39.022022</v>
      </c>
      <c r="D10" s="23">
        <v>48.094689000000002</v>
      </c>
    </row>
    <row r="11" spans="1:5" x14ac:dyDescent="0.3">
      <c r="A11" t="s">
        <v>102</v>
      </c>
      <c r="B11" t="s">
        <v>112</v>
      </c>
      <c r="C11" s="24">
        <v>38.248480000000001</v>
      </c>
      <c r="D11" s="24">
        <v>48.300130000000003</v>
      </c>
    </row>
    <row r="12" spans="1:5" x14ac:dyDescent="0.3">
      <c r="A12" t="s">
        <v>102</v>
      </c>
      <c r="B12" t="s">
        <v>113</v>
      </c>
      <c r="C12" s="23">
        <v>39.443139000000002</v>
      </c>
      <c r="D12" s="23">
        <v>47.405496999999997</v>
      </c>
    </row>
    <row r="13" spans="1:5" x14ac:dyDescent="0.3">
      <c r="A13" t="s">
        <v>102</v>
      </c>
      <c r="B13" t="s">
        <v>114</v>
      </c>
      <c r="C13" s="23">
        <v>38.513319000000003</v>
      </c>
      <c r="D13" s="25">
        <v>47.8264</v>
      </c>
    </row>
    <row r="14" spans="1:5" x14ac:dyDescent="0.3">
      <c r="A14" t="s">
        <v>102</v>
      </c>
      <c r="B14" t="s">
        <v>115</v>
      </c>
      <c r="C14" s="23">
        <v>38.283355999999998</v>
      </c>
      <c r="D14" s="23">
        <v>48.552917000000001</v>
      </c>
    </row>
    <row r="15" spans="1:5" x14ac:dyDescent="0.3">
      <c r="A15" t="s">
        <v>102</v>
      </c>
      <c r="B15" t="s">
        <v>116</v>
      </c>
      <c r="C15" s="23">
        <v>38.079357999999999</v>
      </c>
      <c r="D15" s="23">
        <v>48.505597000000002</v>
      </c>
    </row>
    <row r="16" spans="1:5" x14ac:dyDescent="0.3">
      <c r="A16" t="s">
        <v>102</v>
      </c>
      <c r="B16" t="s">
        <v>117</v>
      </c>
      <c r="C16" s="23">
        <v>37.366580999999996</v>
      </c>
      <c r="D16" s="23">
        <v>48.318038999999999</v>
      </c>
    </row>
    <row r="17" spans="1:4" x14ac:dyDescent="0.3">
      <c r="A17" t="s">
        <v>102</v>
      </c>
      <c r="B17" t="s">
        <v>118</v>
      </c>
      <c r="C17" s="23">
        <v>39.650319000000003</v>
      </c>
      <c r="D17" s="24">
        <v>47.913550000000001</v>
      </c>
    </row>
    <row r="18" spans="1:4" x14ac:dyDescent="0.3">
      <c r="A18" t="s">
        <v>102</v>
      </c>
      <c r="B18" t="s">
        <v>119</v>
      </c>
      <c r="C18" s="23">
        <v>38.151874999999997</v>
      </c>
      <c r="D18" s="23">
        <v>48.071202999999997</v>
      </c>
    </row>
    <row r="19" spans="1:4" x14ac:dyDescent="0.3">
      <c r="A19" t="s">
        <v>102</v>
      </c>
      <c r="B19" t="s">
        <v>120</v>
      </c>
      <c r="C19" s="23">
        <v>39.381093999999997</v>
      </c>
      <c r="D19" s="23">
        <v>48.345624999999998</v>
      </c>
    </row>
    <row r="20" spans="1:4" x14ac:dyDescent="0.3">
      <c r="A20" t="s">
        <v>102</v>
      </c>
      <c r="B20" t="s">
        <v>121</v>
      </c>
      <c r="C20" s="23">
        <v>38.629413999999997</v>
      </c>
      <c r="D20" s="23">
        <v>48.097963999999997</v>
      </c>
    </row>
    <row r="21" spans="1:4" x14ac:dyDescent="0.3">
      <c r="A21" t="s">
        <v>102</v>
      </c>
      <c r="B21" t="s">
        <v>122</v>
      </c>
      <c r="C21" s="23">
        <v>38.426333</v>
      </c>
      <c r="D21" s="23">
        <v>48.482624999999999</v>
      </c>
    </row>
    <row r="22" spans="1:4" x14ac:dyDescent="0.3">
      <c r="A22" t="s">
        <v>102</v>
      </c>
      <c r="B22" t="s">
        <v>123</v>
      </c>
      <c r="C22" s="24">
        <v>38.030180000000001</v>
      </c>
      <c r="D22" s="24">
        <v>47.992739999999998</v>
      </c>
    </row>
    <row r="23" spans="1:4" x14ac:dyDescent="0.3">
      <c r="A23" t="s">
        <v>124</v>
      </c>
      <c r="B23" t="s">
        <v>125</v>
      </c>
      <c r="C23" s="24">
        <v>33.057450000000003</v>
      </c>
      <c r="D23" s="23">
        <v>51.088788999999998</v>
      </c>
    </row>
    <row r="24" spans="1:4" x14ac:dyDescent="0.3">
      <c r="A24" t="s">
        <v>124</v>
      </c>
      <c r="B24" t="s">
        <v>126</v>
      </c>
      <c r="C24" s="24">
        <v>34.08034</v>
      </c>
      <c r="D24" s="24">
        <v>51.435650000000003</v>
      </c>
    </row>
    <row r="25" spans="1:4" x14ac:dyDescent="0.3">
      <c r="A25" t="s">
        <v>124</v>
      </c>
      <c r="B25" t="s">
        <v>127</v>
      </c>
      <c r="C25" s="24">
        <v>32.489789999999999</v>
      </c>
      <c r="D25" s="24">
        <v>51.77608</v>
      </c>
    </row>
    <row r="26" spans="1:4" x14ac:dyDescent="0.3">
      <c r="A26" t="s">
        <v>124</v>
      </c>
      <c r="B26" t="s">
        <v>128</v>
      </c>
      <c r="C26" s="23">
        <v>33.373131000000001</v>
      </c>
      <c r="D26" s="23">
        <v>52.368789</v>
      </c>
    </row>
    <row r="27" spans="1:4" x14ac:dyDescent="0.3">
      <c r="A27" t="s">
        <v>124</v>
      </c>
      <c r="B27" t="s">
        <v>129</v>
      </c>
      <c r="C27" s="23">
        <v>32.624907999999998</v>
      </c>
      <c r="D27" s="23">
        <v>51.475389</v>
      </c>
    </row>
    <row r="28" spans="1:4" x14ac:dyDescent="0.3">
      <c r="A28" t="s">
        <v>124</v>
      </c>
      <c r="B28" t="s">
        <v>130</v>
      </c>
      <c r="C28" s="23">
        <v>32.650830999999997</v>
      </c>
      <c r="D28" s="25">
        <v>51.7547</v>
      </c>
    </row>
    <row r="29" spans="1:4" x14ac:dyDescent="0.3">
      <c r="A29" t="s">
        <v>124</v>
      </c>
      <c r="B29" t="s">
        <v>131</v>
      </c>
      <c r="C29" s="23">
        <v>35.418005999999998</v>
      </c>
      <c r="D29" s="24">
        <v>60.31615</v>
      </c>
    </row>
    <row r="30" spans="1:4" x14ac:dyDescent="0.3">
      <c r="A30" t="s">
        <v>124</v>
      </c>
      <c r="B30" t="s">
        <v>132</v>
      </c>
      <c r="C30" s="24">
        <v>32.70391</v>
      </c>
      <c r="D30" s="24">
        <v>51.152529999999999</v>
      </c>
    </row>
    <row r="31" spans="1:4" x14ac:dyDescent="0.3">
      <c r="A31" t="s">
        <v>124</v>
      </c>
      <c r="B31" t="s">
        <v>133</v>
      </c>
      <c r="C31" s="25">
        <v>33.698099999999997</v>
      </c>
      <c r="D31" s="25">
        <v>51.988500000000002</v>
      </c>
    </row>
    <row r="32" spans="1:4" x14ac:dyDescent="0.3">
      <c r="A32" t="s">
        <v>124</v>
      </c>
      <c r="B32" t="s">
        <v>134</v>
      </c>
      <c r="C32" s="24">
        <v>32.691580000000002</v>
      </c>
      <c r="D32" s="24">
        <v>51.55077</v>
      </c>
    </row>
    <row r="33" spans="1:4" x14ac:dyDescent="0.3">
      <c r="A33" t="s">
        <v>124</v>
      </c>
      <c r="B33" t="s">
        <v>135</v>
      </c>
      <c r="C33" s="23">
        <v>33.023235999999997</v>
      </c>
      <c r="D33" s="23">
        <v>50.092789000000003</v>
      </c>
    </row>
    <row r="34" spans="1:4" x14ac:dyDescent="0.3">
      <c r="A34" t="s">
        <v>124</v>
      </c>
      <c r="B34" t="s">
        <v>136</v>
      </c>
      <c r="C34" s="23">
        <v>33.464181000000004</v>
      </c>
      <c r="D34" s="24">
        <v>50.275449999999999</v>
      </c>
    </row>
    <row r="35" spans="1:4" x14ac:dyDescent="0.3">
      <c r="A35" t="s">
        <v>124</v>
      </c>
      <c r="B35" t="s">
        <v>137</v>
      </c>
      <c r="C35" s="24">
        <v>32.374659999999999</v>
      </c>
      <c r="D35" s="24">
        <v>51.186149999999998</v>
      </c>
    </row>
    <row r="36" spans="1:4" x14ac:dyDescent="0.3">
      <c r="A36" t="s">
        <v>124</v>
      </c>
      <c r="B36" t="s">
        <v>138</v>
      </c>
      <c r="C36" s="24">
        <v>32.86083</v>
      </c>
      <c r="D36" s="24">
        <v>51.550310000000003</v>
      </c>
    </row>
    <row r="37" spans="1:4" x14ac:dyDescent="0.3">
      <c r="A37" t="s">
        <v>124</v>
      </c>
      <c r="B37" t="s">
        <v>139</v>
      </c>
      <c r="C37" s="23">
        <v>33.695360999999998</v>
      </c>
      <c r="D37" s="23">
        <v>51.997469000000002</v>
      </c>
    </row>
    <row r="38" spans="1:4" x14ac:dyDescent="0.3">
      <c r="A38" t="s">
        <v>124</v>
      </c>
      <c r="B38" t="s">
        <v>140</v>
      </c>
      <c r="C38" s="24">
        <v>32.379469999999998</v>
      </c>
      <c r="D38" s="24">
        <v>51.306539999999998</v>
      </c>
    </row>
    <row r="39" spans="1:4" x14ac:dyDescent="0.3">
      <c r="A39" t="s">
        <v>124</v>
      </c>
      <c r="B39" t="s">
        <v>141</v>
      </c>
      <c r="C39" s="24">
        <v>35.282640000000001</v>
      </c>
      <c r="D39" s="24">
        <v>59.518610000000002</v>
      </c>
    </row>
    <row r="40" spans="1:4" x14ac:dyDescent="0.3">
      <c r="A40" t="s">
        <v>124</v>
      </c>
      <c r="B40" t="s">
        <v>141</v>
      </c>
      <c r="C40" s="24">
        <v>32.804229999999997</v>
      </c>
      <c r="D40" s="24">
        <v>51.694940000000003</v>
      </c>
    </row>
    <row r="41" spans="1:4" x14ac:dyDescent="0.3">
      <c r="A41" t="s">
        <v>124</v>
      </c>
      <c r="B41" t="s">
        <v>142</v>
      </c>
      <c r="C41" s="25">
        <v>33.230600000000003</v>
      </c>
      <c r="D41" s="23">
        <v>50.321108000000002</v>
      </c>
    </row>
    <row r="42" spans="1:4" x14ac:dyDescent="0.3">
      <c r="A42" t="s">
        <v>124</v>
      </c>
      <c r="B42" t="s">
        <v>143</v>
      </c>
      <c r="C42" s="24">
        <v>32.633110000000002</v>
      </c>
      <c r="D42" s="25">
        <v>51.365499999999997</v>
      </c>
    </row>
    <row r="43" spans="1:4" x14ac:dyDescent="0.3">
      <c r="A43" t="s">
        <v>124</v>
      </c>
      <c r="B43" t="s">
        <v>144</v>
      </c>
      <c r="C43" s="23">
        <v>32.381391999999998</v>
      </c>
      <c r="D43" s="23">
        <v>51.566991999999999</v>
      </c>
    </row>
    <row r="44" spans="1:4" x14ac:dyDescent="0.3">
      <c r="A44" t="s">
        <v>124</v>
      </c>
      <c r="B44" t="s">
        <v>145</v>
      </c>
      <c r="C44" s="24">
        <v>32.491259999999997</v>
      </c>
      <c r="D44" s="24">
        <v>51.408279999999998</v>
      </c>
    </row>
    <row r="45" spans="1:4" x14ac:dyDescent="0.3">
      <c r="A45" t="s">
        <v>124</v>
      </c>
      <c r="B45" t="s">
        <v>146</v>
      </c>
      <c r="C45" s="24">
        <v>31.421479999999999</v>
      </c>
      <c r="D45" s="24">
        <v>51.572450000000003</v>
      </c>
    </row>
    <row r="46" spans="1:4" x14ac:dyDescent="0.3">
      <c r="A46" t="s">
        <v>124</v>
      </c>
      <c r="B46" t="s">
        <v>147</v>
      </c>
      <c r="C46" s="24">
        <v>32.68056</v>
      </c>
      <c r="D46" s="24">
        <v>51.652589999999996</v>
      </c>
    </row>
    <row r="47" spans="1:4" x14ac:dyDescent="0.3">
      <c r="A47" t="s">
        <v>124</v>
      </c>
      <c r="B47" t="s">
        <v>148</v>
      </c>
      <c r="C47" s="24">
        <v>32.542250000000003</v>
      </c>
      <c r="D47" s="24">
        <v>51.534770000000002</v>
      </c>
    </row>
    <row r="48" spans="1:4" x14ac:dyDescent="0.3">
      <c r="A48" t="s">
        <v>124</v>
      </c>
      <c r="B48" t="s">
        <v>149</v>
      </c>
      <c r="C48" s="24">
        <v>31.19997</v>
      </c>
      <c r="D48" s="25">
        <v>51.722200000000001</v>
      </c>
    </row>
    <row r="49" spans="1:4" x14ac:dyDescent="0.3">
      <c r="A49" t="s">
        <v>124</v>
      </c>
      <c r="B49" t="s">
        <v>150</v>
      </c>
      <c r="C49" s="24">
        <v>32.940750000000001</v>
      </c>
      <c r="D49" s="23">
        <v>50.124831</v>
      </c>
    </row>
    <row r="50" spans="1:4" x14ac:dyDescent="0.3">
      <c r="A50" t="s">
        <v>124</v>
      </c>
      <c r="B50" t="s">
        <v>151</v>
      </c>
      <c r="C50" s="23">
        <v>33.782541999999999</v>
      </c>
      <c r="D50" s="25">
        <v>51.226700000000001</v>
      </c>
    </row>
    <row r="51" spans="1:4" x14ac:dyDescent="0.3">
      <c r="A51" t="s">
        <v>124</v>
      </c>
      <c r="B51" t="s">
        <v>152</v>
      </c>
      <c r="C51" s="24">
        <v>32.342709999999997</v>
      </c>
      <c r="D51" s="24">
        <v>51.44509</v>
      </c>
    </row>
    <row r="52" spans="1:4" x14ac:dyDescent="0.3">
      <c r="A52" t="s">
        <v>124</v>
      </c>
      <c r="B52" t="s">
        <v>153</v>
      </c>
      <c r="C52" s="24">
        <v>32.770940000000003</v>
      </c>
      <c r="D52" s="24">
        <v>50.624769999999998</v>
      </c>
    </row>
    <row r="53" spans="1:4" x14ac:dyDescent="0.3">
      <c r="A53" t="s">
        <v>124</v>
      </c>
      <c r="B53" t="s">
        <v>154</v>
      </c>
      <c r="C53" s="24">
        <v>32.778469999999999</v>
      </c>
      <c r="D53" s="24">
        <v>51.647730000000003</v>
      </c>
    </row>
    <row r="54" spans="1:4" x14ac:dyDescent="0.3">
      <c r="A54" t="s">
        <v>124</v>
      </c>
      <c r="B54" t="s">
        <v>155</v>
      </c>
      <c r="C54" s="24">
        <v>34.04213</v>
      </c>
      <c r="D54" s="24">
        <v>54.41431</v>
      </c>
    </row>
    <row r="55" spans="1:4" x14ac:dyDescent="0.3">
      <c r="A55" t="s">
        <v>124</v>
      </c>
      <c r="B55" t="s">
        <v>156</v>
      </c>
      <c r="C55" s="25">
        <v>34.127299999999998</v>
      </c>
      <c r="D55" s="25">
        <v>51.349899999999998</v>
      </c>
    </row>
    <row r="56" spans="1:4" x14ac:dyDescent="0.3">
      <c r="A56" t="s">
        <v>124</v>
      </c>
      <c r="B56" t="s">
        <v>157</v>
      </c>
      <c r="C56" s="24">
        <v>32.809109999999997</v>
      </c>
      <c r="D56" s="24">
        <v>51.618409999999997</v>
      </c>
    </row>
    <row r="57" spans="1:4" x14ac:dyDescent="0.3">
      <c r="A57" t="s">
        <v>124</v>
      </c>
      <c r="B57" t="s">
        <v>141</v>
      </c>
      <c r="C57" s="25">
        <v>35.092300000000002</v>
      </c>
      <c r="D57" s="25">
        <v>60.877400000000002</v>
      </c>
    </row>
    <row r="58" spans="1:4" x14ac:dyDescent="0.3">
      <c r="A58" t="s">
        <v>124</v>
      </c>
      <c r="B58" t="s">
        <v>158</v>
      </c>
      <c r="C58" s="23">
        <v>33.524088999999996</v>
      </c>
      <c r="D58" s="23">
        <v>52.219285999999997</v>
      </c>
    </row>
    <row r="59" spans="1:4" x14ac:dyDescent="0.3">
      <c r="A59" t="s">
        <v>124</v>
      </c>
      <c r="B59" t="s">
        <v>159</v>
      </c>
      <c r="C59" s="24">
        <v>33.775469999999999</v>
      </c>
      <c r="D59" s="24">
        <v>55.085470000000001</v>
      </c>
    </row>
    <row r="60" spans="1:4" x14ac:dyDescent="0.3">
      <c r="A60" t="s">
        <v>124</v>
      </c>
      <c r="B60" t="s">
        <v>160</v>
      </c>
      <c r="C60" s="24">
        <v>32.556260000000002</v>
      </c>
      <c r="D60" s="24">
        <v>51.572890000000001</v>
      </c>
    </row>
    <row r="61" spans="1:4" x14ac:dyDescent="0.3">
      <c r="A61" t="s">
        <v>124</v>
      </c>
      <c r="B61" t="s">
        <v>161</v>
      </c>
      <c r="C61" s="23">
        <v>33.075738999999999</v>
      </c>
      <c r="D61" s="23">
        <v>50.163181000000002</v>
      </c>
    </row>
    <row r="62" spans="1:4" x14ac:dyDescent="0.3">
      <c r="A62" t="s">
        <v>124</v>
      </c>
      <c r="B62" t="s">
        <v>162</v>
      </c>
      <c r="C62" s="24">
        <v>32.862609999999997</v>
      </c>
      <c r="D62" s="24">
        <v>53.08484</v>
      </c>
    </row>
    <row r="63" spans="1:4" x14ac:dyDescent="0.3">
      <c r="A63" t="s">
        <v>124</v>
      </c>
      <c r="B63" t="s">
        <v>163</v>
      </c>
      <c r="C63" s="24">
        <v>32.437829999999998</v>
      </c>
      <c r="D63" s="24">
        <v>52.37885</v>
      </c>
    </row>
    <row r="64" spans="1:4" x14ac:dyDescent="0.3">
      <c r="A64" t="s">
        <v>124</v>
      </c>
      <c r="B64" t="s">
        <v>164</v>
      </c>
      <c r="C64" s="23">
        <v>33.971069</v>
      </c>
      <c r="D64" s="23">
        <v>51.143510999999997</v>
      </c>
    </row>
    <row r="65" spans="1:4" x14ac:dyDescent="0.3">
      <c r="A65" t="s">
        <v>124</v>
      </c>
      <c r="B65" t="s">
        <v>165</v>
      </c>
      <c r="C65" s="23">
        <v>32.692571999999998</v>
      </c>
      <c r="D65" s="23">
        <v>52.122886000000001</v>
      </c>
    </row>
    <row r="66" spans="1:4" x14ac:dyDescent="0.3">
      <c r="A66" t="s">
        <v>124</v>
      </c>
      <c r="B66" t="s">
        <v>166</v>
      </c>
      <c r="C66" s="23">
        <v>31.944661</v>
      </c>
      <c r="D66" s="23">
        <v>51.871589</v>
      </c>
    </row>
    <row r="67" spans="1:4" x14ac:dyDescent="0.3">
      <c r="A67" t="s">
        <v>124</v>
      </c>
      <c r="B67" t="s">
        <v>167</v>
      </c>
      <c r="C67" s="24">
        <v>32.984189999999998</v>
      </c>
      <c r="D67" s="24">
        <v>50.412520000000001</v>
      </c>
    </row>
    <row r="68" spans="1:4" x14ac:dyDescent="0.3">
      <c r="A68" t="s">
        <v>124</v>
      </c>
      <c r="B68" t="s">
        <v>168</v>
      </c>
      <c r="C68" s="24">
        <v>31.934889999999999</v>
      </c>
      <c r="D68" s="24">
        <v>51.652509999999999</v>
      </c>
    </row>
    <row r="69" spans="1:4" x14ac:dyDescent="0.3">
      <c r="A69" t="s">
        <v>124</v>
      </c>
      <c r="B69" t="s">
        <v>169</v>
      </c>
      <c r="C69" s="23">
        <v>33.525136000000003</v>
      </c>
      <c r="D69" s="23">
        <v>50.488036000000001</v>
      </c>
    </row>
    <row r="70" spans="1:4" x14ac:dyDescent="0.3">
      <c r="A70" t="s">
        <v>124</v>
      </c>
      <c r="B70" t="s">
        <v>170</v>
      </c>
      <c r="C70" s="24">
        <v>34.070189999999997</v>
      </c>
      <c r="D70" s="24">
        <v>51.478479999999998</v>
      </c>
    </row>
    <row r="71" spans="1:4" x14ac:dyDescent="0.3">
      <c r="A71" t="s">
        <v>124</v>
      </c>
      <c r="B71" t="s">
        <v>171</v>
      </c>
      <c r="C71" s="25">
        <v>33.101700000000001</v>
      </c>
      <c r="D71" s="23">
        <v>50.966289000000003</v>
      </c>
    </row>
    <row r="72" spans="1:4" x14ac:dyDescent="0.3">
      <c r="A72" t="s">
        <v>124</v>
      </c>
      <c r="B72" t="s">
        <v>172</v>
      </c>
      <c r="C72" s="24">
        <v>32.56183</v>
      </c>
      <c r="D72" s="24">
        <v>52.43571</v>
      </c>
    </row>
    <row r="73" spans="1:4" x14ac:dyDescent="0.3">
      <c r="A73" t="s">
        <v>124</v>
      </c>
      <c r="B73" t="s">
        <v>173</v>
      </c>
      <c r="C73" s="24">
        <v>32.357379999999999</v>
      </c>
      <c r="D73" s="24">
        <v>51.387689999999999</v>
      </c>
    </row>
    <row r="74" spans="1:4" x14ac:dyDescent="0.3">
      <c r="A74" t="s">
        <v>124</v>
      </c>
      <c r="B74" t="s">
        <v>174</v>
      </c>
      <c r="C74" s="24">
        <v>32.577170000000002</v>
      </c>
      <c r="D74" s="24">
        <v>51.453919999999997</v>
      </c>
    </row>
    <row r="75" spans="1:4" x14ac:dyDescent="0.3">
      <c r="A75" t="s">
        <v>124</v>
      </c>
      <c r="B75" t="s">
        <v>175</v>
      </c>
      <c r="C75" s="24">
        <v>32.704219999999999</v>
      </c>
      <c r="D75" s="24">
        <v>51.104320000000001</v>
      </c>
    </row>
    <row r="76" spans="1:4" x14ac:dyDescent="0.3">
      <c r="A76" t="s">
        <v>124</v>
      </c>
      <c r="B76" t="s">
        <v>176</v>
      </c>
      <c r="C76" s="25">
        <v>32.012099999999997</v>
      </c>
      <c r="D76" s="24">
        <v>51.859569999999998</v>
      </c>
    </row>
    <row r="77" spans="1:4" x14ac:dyDescent="0.3">
      <c r="A77" t="s">
        <v>124</v>
      </c>
      <c r="B77" t="s">
        <v>177</v>
      </c>
      <c r="C77" s="23">
        <v>33.505819000000002</v>
      </c>
      <c r="D77" s="23">
        <v>51.923169000000001</v>
      </c>
    </row>
    <row r="78" spans="1:4" x14ac:dyDescent="0.3">
      <c r="A78" t="s">
        <v>124</v>
      </c>
      <c r="B78" t="s">
        <v>178</v>
      </c>
      <c r="C78" s="23">
        <v>31.065968999999999</v>
      </c>
      <c r="D78" s="23">
        <v>51.592731000000001</v>
      </c>
    </row>
    <row r="79" spans="1:4" x14ac:dyDescent="0.3">
      <c r="A79" t="s">
        <v>124</v>
      </c>
      <c r="B79" t="s">
        <v>179</v>
      </c>
      <c r="C79" s="24">
        <v>32.307409999999997</v>
      </c>
      <c r="D79" s="24">
        <v>52.20637</v>
      </c>
    </row>
    <row r="80" spans="1:4" x14ac:dyDescent="0.3">
      <c r="A80" t="s">
        <v>124</v>
      </c>
      <c r="B80" t="s">
        <v>180</v>
      </c>
      <c r="C80" s="23">
        <v>32.867511</v>
      </c>
      <c r="D80" s="23">
        <v>50.854838999999998</v>
      </c>
    </row>
    <row r="81" spans="1:4" x14ac:dyDescent="0.3">
      <c r="A81" t="s">
        <v>124</v>
      </c>
      <c r="B81" t="s">
        <v>181</v>
      </c>
      <c r="C81" s="24">
        <v>33.310560000000002</v>
      </c>
      <c r="D81" s="24">
        <v>53.69829</v>
      </c>
    </row>
    <row r="82" spans="1:4" x14ac:dyDescent="0.3">
      <c r="A82" t="s">
        <v>124</v>
      </c>
      <c r="B82" t="s">
        <v>182</v>
      </c>
      <c r="C82" s="24">
        <v>33.415950000000002</v>
      </c>
      <c r="D82" s="23">
        <v>51.177810999999998</v>
      </c>
    </row>
    <row r="83" spans="1:4" x14ac:dyDescent="0.3">
      <c r="A83" t="s">
        <v>124</v>
      </c>
      <c r="B83" t="s">
        <v>183</v>
      </c>
      <c r="C83" s="24">
        <v>32.38879</v>
      </c>
      <c r="D83" s="24">
        <v>51.373449999999998</v>
      </c>
    </row>
    <row r="84" spans="1:4" x14ac:dyDescent="0.3">
      <c r="A84" t="s">
        <v>124</v>
      </c>
      <c r="B84" t="s">
        <v>175</v>
      </c>
      <c r="C84" s="23">
        <v>37.550455999999997</v>
      </c>
      <c r="D84" s="25">
        <v>49.143099999999997</v>
      </c>
    </row>
    <row r="85" spans="1:4" x14ac:dyDescent="0.3">
      <c r="A85" t="s">
        <v>124</v>
      </c>
      <c r="B85" t="s">
        <v>184</v>
      </c>
      <c r="C85" s="24">
        <v>33.019550000000002</v>
      </c>
      <c r="D85" s="23">
        <v>50.491131000000003</v>
      </c>
    </row>
    <row r="86" spans="1:4" x14ac:dyDescent="0.3">
      <c r="A86" t="s">
        <v>124</v>
      </c>
      <c r="B86" t="s">
        <v>185</v>
      </c>
      <c r="C86" s="24">
        <v>32.334519999999998</v>
      </c>
      <c r="D86" s="24">
        <v>51.194890000000001</v>
      </c>
    </row>
    <row r="87" spans="1:4" x14ac:dyDescent="0.3">
      <c r="A87" t="s">
        <v>124</v>
      </c>
      <c r="B87" t="s">
        <v>186</v>
      </c>
      <c r="C87" s="24">
        <v>32.623379999999997</v>
      </c>
      <c r="D87" s="24">
        <v>51.435780000000001</v>
      </c>
    </row>
    <row r="88" spans="1:4" x14ac:dyDescent="0.3">
      <c r="A88" t="s">
        <v>124</v>
      </c>
      <c r="B88" t="s">
        <v>187</v>
      </c>
      <c r="C88" s="24">
        <v>32.557130000000001</v>
      </c>
      <c r="D88" s="24">
        <v>51.505949999999999</v>
      </c>
    </row>
    <row r="89" spans="1:4" x14ac:dyDescent="0.3">
      <c r="A89" t="s">
        <v>124</v>
      </c>
      <c r="B89" t="s">
        <v>188</v>
      </c>
      <c r="C89" s="24">
        <v>32.341949999999997</v>
      </c>
      <c r="D89" s="24">
        <v>51.50488</v>
      </c>
    </row>
    <row r="90" spans="1:4" x14ac:dyDescent="0.3">
      <c r="A90" t="s">
        <v>124</v>
      </c>
      <c r="B90" t="s">
        <v>189</v>
      </c>
      <c r="C90" s="23">
        <v>32.512568999999999</v>
      </c>
      <c r="D90" s="23">
        <v>51.534039</v>
      </c>
    </row>
    <row r="91" spans="1:4" x14ac:dyDescent="0.3">
      <c r="A91" t="s">
        <v>124</v>
      </c>
      <c r="B91" t="s">
        <v>190</v>
      </c>
      <c r="C91" s="23">
        <v>32.392214000000003</v>
      </c>
      <c r="D91" s="23">
        <v>51.268456</v>
      </c>
    </row>
    <row r="92" spans="1:4" x14ac:dyDescent="0.3">
      <c r="A92" t="s">
        <v>124</v>
      </c>
      <c r="B92" t="s">
        <v>191</v>
      </c>
      <c r="C92" s="23">
        <v>32.837231000000003</v>
      </c>
      <c r="D92" s="23">
        <v>50.564138999999997</v>
      </c>
    </row>
    <row r="93" spans="1:4" x14ac:dyDescent="0.3">
      <c r="A93" t="s">
        <v>124</v>
      </c>
      <c r="B93" t="s">
        <v>131</v>
      </c>
      <c r="C93" s="24">
        <v>32.27937</v>
      </c>
      <c r="D93" s="25">
        <v>52.060200000000002</v>
      </c>
    </row>
    <row r="94" spans="1:4" x14ac:dyDescent="0.3">
      <c r="A94" t="s">
        <v>124</v>
      </c>
      <c r="B94" t="s">
        <v>159</v>
      </c>
      <c r="C94" s="25">
        <v>27.644100000000002</v>
      </c>
      <c r="D94" s="26">
        <v>54.341999999999999</v>
      </c>
    </row>
    <row r="95" spans="1:4" x14ac:dyDescent="0.3">
      <c r="A95" t="s">
        <v>124</v>
      </c>
      <c r="B95" t="s">
        <v>192</v>
      </c>
      <c r="C95" s="23">
        <v>33.477269</v>
      </c>
      <c r="D95" s="23">
        <v>50.355839000000003</v>
      </c>
    </row>
    <row r="96" spans="1:4" x14ac:dyDescent="0.3">
      <c r="A96" t="s">
        <v>124</v>
      </c>
      <c r="B96" t="s">
        <v>193</v>
      </c>
      <c r="C96" s="23">
        <v>32.987419000000003</v>
      </c>
      <c r="D96" s="25">
        <v>50.190100000000001</v>
      </c>
    </row>
    <row r="97" spans="1:4" x14ac:dyDescent="0.3">
      <c r="A97" t="s">
        <v>124</v>
      </c>
      <c r="B97" t="s">
        <v>194</v>
      </c>
      <c r="C97" s="24">
        <v>32.719830000000002</v>
      </c>
      <c r="D97" s="24">
        <v>52.662050000000001</v>
      </c>
    </row>
    <row r="98" spans="1:4" x14ac:dyDescent="0.3">
      <c r="A98" t="s">
        <v>124</v>
      </c>
      <c r="B98" t="s">
        <v>195</v>
      </c>
      <c r="C98" s="24">
        <v>32.827649999999998</v>
      </c>
      <c r="D98" s="24">
        <v>51.776069999999997</v>
      </c>
    </row>
    <row r="99" spans="1:4" x14ac:dyDescent="0.3">
      <c r="A99" t="s">
        <v>124</v>
      </c>
      <c r="B99" t="s">
        <v>196</v>
      </c>
      <c r="C99" s="26">
        <v>32.268000000000001</v>
      </c>
      <c r="D99" s="24">
        <v>51.564149999999998</v>
      </c>
    </row>
    <row r="100" spans="1:4" x14ac:dyDescent="0.3">
      <c r="A100" t="s">
        <v>124</v>
      </c>
      <c r="B100" t="s">
        <v>197</v>
      </c>
      <c r="C100" s="25">
        <v>32.639499999999998</v>
      </c>
      <c r="D100" s="24">
        <v>51.499850000000002</v>
      </c>
    </row>
    <row r="101" spans="1:4" x14ac:dyDescent="0.3">
      <c r="A101" t="s">
        <v>124</v>
      </c>
      <c r="B101" t="s">
        <v>198</v>
      </c>
      <c r="C101" s="25">
        <v>33.963700000000003</v>
      </c>
      <c r="D101" s="23">
        <v>51.447488999999997</v>
      </c>
    </row>
    <row r="102" spans="1:4" x14ac:dyDescent="0.3">
      <c r="A102" t="s">
        <v>124</v>
      </c>
      <c r="B102" t="s">
        <v>199</v>
      </c>
      <c r="C102" s="24">
        <v>32.380540000000003</v>
      </c>
      <c r="D102" s="24">
        <v>51.511710000000001</v>
      </c>
    </row>
    <row r="103" spans="1:4" x14ac:dyDescent="0.3">
      <c r="A103" t="s">
        <v>124</v>
      </c>
      <c r="B103" t="s">
        <v>200</v>
      </c>
      <c r="C103" s="24">
        <v>32.468380000000003</v>
      </c>
      <c r="D103" s="24">
        <v>51.558779999999999</v>
      </c>
    </row>
    <row r="104" spans="1:4" x14ac:dyDescent="0.3">
      <c r="A104" t="s">
        <v>124</v>
      </c>
      <c r="B104" t="s">
        <v>201</v>
      </c>
      <c r="C104" s="23">
        <v>33.608331</v>
      </c>
      <c r="D104" s="26">
        <v>51.225000000000001</v>
      </c>
    </row>
    <row r="105" spans="1:4" x14ac:dyDescent="0.3">
      <c r="A105" t="s">
        <v>124</v>
      </c>
      <c r="B105" t="s">
        <v>202</v>
      </c>
      <c r="C105" s="23">
        <v>31.526071999999999</v>
      </c>
      <c r="D105" s="23">
        <v>51.325552999999999</v>
      </c>
    </row>
    <row r="106" spans="1:4" x14ac:dyDescent="0.3">
      <c r="A106" t="s">
        <v>124</v>
      </c>
      <c r="B106" t="s">
        <v>203</v>
      </c>
      <c r="C106" s="25">
        <v>33.901899999999998</v>
      </c>
      <c r="D106" s="24">
        <v>51.766649999999998</v>
      </c>
    </row>
    <row r="107" spans="1:4" x14ac:dyDescent="0.3">
      <c r="A107" t="s">
        <v>124</v>
      </c>
      <c r="B107" t="s">
        <v>204</v>
      </c>
      <c r="C107" s="23">
        <v>33.753138999999997</v>
      </c>
      <c r="D107" s="23">
        <v>51.432580999999999</v>
      </c>
    </row>
    <row r="108" spans="1:4" x14ac:dyDescent="0.3">
      <c r="A108" t="s">
        <v>124</v>
      </c>
      <c r="B108" t="s">
        <v>205</v>
      </c>
      <c r="C108" s="24">
        <v>34.17745</v>
      </c>
      <c r="D108" s="23">
        <v>51.261080999999997</v>
      </c>
    </row>
    <row r="109" spans="1:4" x14ac:dyDescent="0.3">
      <c r="A109" t="s">
        <v>124</v>
      </c>
      <c r="B109" t="s">
        <v>206</v>
      </c>
      <c r="C109" s="24">
        <v>32.392910000000001</v>
      </c>
      <c r="D109" s="25">
        <v>51.339300000000001</v>
      </c>
    </row>
    <row r="110" spans="1:4" x14ac:dyDescent="0.3">
      <c r="A110" t="s">
        <v>124</v>
      </c>
      <c r="B110" t="s">
        <v>207</v>
      </c>
      <c r="C110" s="23">
        <v>32.905464000000002</v>
      </c>
      <c r="D110" s="23">
        <v>51.809424999999997</v>
      </c>
    </row>
    <row r="111" spans="1:4" x14ac:dyDescent="0.3">
      <c r="A111" t="s">
        <v>124</v>
      </c>
      <c r="B111" t="s">
        <v>208</v>
      </c>
      <c r="C111" s="24">
        <v>32.714509999999997</v>
      </c>
      <c r="D111" s="24">
        <v>52.440829999999998</v>
      </c>
    </row>
    <row r="112" spans="1:4" x14ac:dyDescent="0.3">
      <c r="A112" t="s">
        <v>124</v>
      </c>
      <c r="B112" t="s">
        <v>209</v>
      </c>
      <c r="C112" s="24">
        <v>32.801580000000001</v>
      </c>
      <c r="D112" s="24">
        <v>51.662480000000002</v>
      </c>
    </row>
    <row r="113" spans="1:4" x14ac:dyDescent="0.3">
      <c r="A113" t="s">
        <v>124</v>
      </c>
      <c r="B113" t="s">
        <v>210</v>
      </c>
      <c r="C113" s="23">
        <v>32.474111000000001</v>
      </c>
      <c r="D113" s="23">
        <v>51.475897000000003</v>
      </c>
    </row>
    <row r="114" spans="1:4" x14ac:dyDescent="0.3">
      <c r="A114" t="s">
        <v>124</v>
      </c>
      <c r="B114" t="s">
        <v>211</v>
      </c>
      <c r="C114" s="24">
        <v>32.613050000000001</v>
      </c>
      <c r="D114" s="24">
        <v>51.553080000000001</v>
      </c>
    </row>
    <row r="115" spans="1:4" x14ac:dyDescent="0.3">
      <c r="A115" t="s">
        <v>124</v>
      </c>
      <c r="B115" t="s">
        <v>158</v>
      </c>
      <c r="C115" s="24">
        <v>36.766550000000002</v>
      </c>
      <c r="D115" s="23">
        <v>45.720039</v>
      </c>
    </row>
    <row r="116" spans="1:4" x14ac:dyDescent="0.3">
      <c r="A116" t="s">
        <v>124</v>
      </c>
      <c r="B116" t="s">
        <v>212</v>
      </c>
      <c r="C116" s="23">
        <v>33.452860999999999</v>
      </c>
      <c r="D116" s="23">
        <v>52.489381000000002</v>
      </c>
    </row>
    <row r="117" spans="1:4" x14ac:dyDescent="0.3">
      <c r="A117" t="s">
        <v>124</v>
      </c>
      <c r="B117" t="s">
        <v>213</v>
      </c>
      <c r="C117" s="25">
        <v>32.421900000000001</v>
      </c>
      <c r="D117" s="25">
        <v>52.6496</v>
      </c>
    </row>
    <row r="118" spans="1:4" x14ac:dyDescent="0.3">
      <c r="A118" t="s">
        <v>214</v>
      </c>
      <c r="B118" t="s">
        <v>215</v>
      </c>
      <c r="C118" s="23">
        <v>32.693030999999998</v>
      </c>
      <c r="D118" s="23">
        <v>47.260430999999997</v>
      </c>
    </row>
    <row r="119" spans="1:4" x14ac:dyDescent="0.3">
      <c r="A119" t="s">
        <v>214</v>
      </c>
      <c r="B119" t="s">
        <v>216</v>
      </c>
      <c r="C119" s="23">
        <v>33.767361000000001</v>
      </c>
      <c r="D119" s="23">
        <v>46.565660999999999</v>
      </c>
    </row>
    <row r="120" spans="1:4" x14ac:dyDescent="0.3">
      <c r="A120" t="s">
        <v>214</v>
      </c>
      <c r="B120" t="s">
        <v>217</v>
      </c>
      <c r="C120" s="23">
        <v>33.306877999999998</v>
      </c>
      <c r="D120" s="23">
        <v>47.036830999999999</v>
      </c>
    </row>
    <row r="121" spans="1:4" x14ac:dyDescent="0.3">
      <c r="A121" t="s">
        <v>214</v>
      </c>
      <c r="B121" t="s">
        <v>218</v>
      </c>
      <c r="C121" s="23">
        <v>33.140658000000002</v>
      </c>
      <c r="D121" s="23">
        <v>47.378903000000001</v>
      </c>
    </row>
    <row r="122" spans="1:4" x14ac:dyDescent="0.3">
      <c r="A122" t="s">
        <v>214</v>
      </c>
      <c r="B122" t="s">
        <v>219</v>
      </c>
      <c r="C122" s="23">
        <v>33.827556000000001</v>
      </c>
      <c r="D122" s="23">
        <v>46.308067000000001</v>
      </c>
    </row>
    <row r="123" spans="1:4" x14ac:dyDescent="0.3">
      <c r="A123" t="s">
        <v>214</v>
      </c>
      <c r="B123" t="s">
        <v>220</v>
      </c>
      <c r="C123" s="23">
        <v>32.725369000000001</v>
      </c>
      <c r="D123" s="23">
        <v>47.676231000000001</v>
      </c>
    </row>
    <row r="124" spans="1:4" x14ac:dyDescent="0.3">
      <c r="A124" t="s">
        <v>214</v>
      </c>
      <c r="B124" t="s">
        <v>221</v>
      </c>
      <c r="C124" s="25">
        <v>33.725499999999997</v>
      </c>
      <c r="D124" s="25">
        <v>47.0685</v>
      </c>
    </row>
    <row r="125" spans="1:4" x14ac:dyDescent="0.3">
      <c r="A125" t="s">
        <v>214</v>
      </c>
      <c r="B125" t="s">
        <v>222</v>
      </c>
      <c r="C125" s="25">
        <v>33.448900000000002</v>
      </c>
      <c r="D125" s="23">
        <v>51.173310999999998</v>
      </c>
    </row>
    <row r="126" spans="1:4" x14ac:dyDescent="0.3">
      <c r="A126" t="s">
        <v>214</v>
      </c>
      <c r="B126" t="s">
        <v>223</v>
      </c>
      <c r="C126" s="23">
        <v>33.008831000000001</v>
      </c>
      <c r="D126" s="23">
        <v>46.883718999999999</v>
      </c>
    </row>
    <row r="127" spans="1:4" x14ac:dyDescent="0.3">
      <c r="A127" t="s">
        <v>214</v>
      </c>
      <c r="B127" t="s">
        <v>224</v>
      </c>
      <c r="C127" s="23">
        <v>32.990264000000003</v>
      </c>
      <c r="D127" s="23">
        <v>47.423763999999998</v>
      </c>
    </row>
    <row r="128" spans="1:4" x14ac:dyDescent="0.3">
      <c r="A128" t="s">
        <v>214</v>
      </c>
      <c r="B128" t="s">
        <v>225</v>
      </c>
      <c r="C128" s="25">
        <v>33.119500000000002</v>
      </c>
      <c r="D128" s="23">
        <v>46.165661</v>
      </c>
    </row>
    <row r="129" spans="1:4" x14ac:dyDescent="0.3">
      <c r="A129" t="s">
        <v>214</v>
      </c>
      <c r="B129" t="s">
        <v>226</v>
      </c>
      <c r="C129" s="23">
        <v>33.861297</v>
      </c>
      <c r="D129" s="23">
        <v>46.452986000000003</v>
      </c>
    </row>
    <row r="130" spans="1:4" x14ac:dyDescent="0.3">
      <c r="A130" t="s">
        <v>214</v>
      </c>
      <c r="B130" t="s">
        <v>227</v>
      </c>
      <c r="C130" s="23">
        <v>33.927419</v>
      </c>
      <c r="D130" s="25">
        <v>46.182299999999998</v>
      </c>
    </row>
    <row r="131" spans="1:4" x14ac:dyDescent="0.3">
      <c r="A131" t="s">
        <v>214</v>
      </c>
      <c r="B131" t="s">
        <v>222</v>
      </c>
      <c r="C131" s="23">
        <v>33.227594000000003</v>
      </c>
      <c r="D131" s="23">
        <v>46.916007999999998</v>
      </c>
    </row>
    <row r="132" spans="1:4" x14ac:dyDescent="0.3">
      <c r="A132" t="s">
        <v>214</v>
      </c>
      <c r="B132" t="s">
        <v>228</v>
      </c>
      <c r="C132" s="23">
        <v>33.565828000000003</v>
      </c>
      <c r="D132" s="23">
        <v>46.812680999999998</v>
      </c>
    </row>
    <row r="133" spans="1:4" x14ac:dyDescent="0.3">
      <c r="A133" t="s">
        <v>214</v>
      </c>
      <c r="B133" t="s">
        <v>229</v>
      </c>
      <c r="C133" s="24">
        <v>33.640149999999998</v>
      </c>
      <c r="D133" s="24">
        <v>46.428690000000003</v>
      </c>
    </row>
    <row r="134" spans="1:4" x14ac:dyDescent="0.3">
      <c r="A134" t="s">
        <v>214</v>
      </c>
      <c r="B134" t="s">
        <v>230</v>
      </c>
      <c r="C134" s="23">
        <v>33.392268999999999</v>
      </c>
      <c r="D134" s="25">
        <v>46.602800000000002</v>
      </c>
    </row>
    <row r="135" spans="1:4" x14ac:dyDescent="0.3">
      <c r="A135" t="s">
        <v>214</v>
      </c>
      <c r="B135" t="s">
        <v>231</v>
      </c>
      <c r="C135" s="23">
        <v>32.519444</v>
      </c>
      <c r="D135" s="23">
        <v>47.377222000000003</v>
      </c>
    </row>
    <row r="136" spans="1:4" x14ac:dyDescent="0.3">
      <c r="A136" t="s">
        <v>214</v>
      </c>
      <c r="B136" t="s">
        <v>232</v>
      </c>
      <c r="C136" s="23">
        <v>33.695131000000003</v>
      </c>
      <c r="D136" s="23">
        <v>46.298053000000003</v>
      </c>
    </row>
    <row r="137" spans="1:4" x14ac:dyDescent="0.3">
      <c r="A137" t="s">
        <v>233</v>
      </c>
      <c r="B137" t="s">
        <v>234</v>
      </c>
      <c r="C137" s="24">
        <v>38.07929</v>
      </c>
      <c r="D137" s="24">
        <v>46.288589999999999</v>
      </c>
    </row>
    <row r="138" spans="1:4" x14ac:dyDescent="0.3">
      <c r="A138" t="s">
        <v>235</v>
      </c>
      <c r="B138" t="s">
        <v>236</v>
      </c>
      <c r="C138" s="23">
        <v>28.062231000000001</v>
      </c>
      <c r="D138" s="23">
        <v>51.477217000000003</v>
      </c>
    </row>
    <row r="139" spans="1:4" x14ac:dyDescent="0.3">
      <c r="A139" t="s">
        <v>235</v>
      </c>
      <c r="B139" t="s">
        <v>237</v>
      </c>
      <c r="C139" s="23">
        <v>28.967943999999999</v>
      </c>
      <c r="D139" s="23">
        <v>50.836922000000001</v>
      </c>
    </row>
    <row r="140" spans="1:4" x14ac:dyDescent="0.3">
      <c r="A140" t="s">
        <v>235</v>
      </c>
      <c r="B140" t="s">
        <v>238</v>
      </c>
      <c r="C140" s="24">
        <v>29.839479999999998</v>
      </c>
      <c r="D140" s="24">
        <v>50.262120000000003</v>
      </c>
    </row>
    <row r="141" spans="1:4" x14ac:dyDescent="0.3">
      <c r="A141" t="s">
        <v>235</v>
      </c>
      <c r="B141" t="s">
        <v>239</v>
      </c>
      <c r="C141" s="23">
        <v>28.943411000000001</v>
      </c>
      <c r="D141" s="23">
        <v>51.457289000000003</v>
      </c>
    </row>
    <row r="142" spans="1:4" x14ac:dyDescent="0.3">
      <c r="A142" t="s">
        <v>235</v>
      </c>
      <c r="B142" t="s">
        <v>240</v>
      </c>
      <c r="C142" s="24">
        <v>27.66705</v>
      </c>
      <c r="D142" s="23">
        <v>52.346131</v>
      </c>
    </row>
    <row r="143" spans="1:4" x14ac:dyDescent="0.3">
      <c r="A143" t="s">
        <v>235</v>
      </c>
      <c r="B143" t="s">
        <v>241</v>
      </c>
      <c r="C143" s="23">
        <v>27.827919000000001</v>
      </c>
      <c r="D143" s="23">
        <v>52.327688999999999</v>
      </c>
    </row>
    <row r="144" spans="1:4" x14ac:dyDescent="0.3">
      <c r="A144" t="s">
        <v>235</v>
      </c>
      <c r="B144" t="s">
        <v>242</v>
      </c>
      <c r="C144" s="24">
        <v>29.47184</v>
      </c>
      <c r="D144" s="24">
        <v>50.994990000000001</v>
      </c>
    </row>
    <row r="145" spans="1:4" x14ac:dyDescent="0.3">
      <c r="A145" t="s">
        <v>235</v>
      </c>
      <c r="B145" t="s">
        <v>243</v>
      </c>
      <c r="C145" s="24">
        <v>29.577909999999999</v>
      </c>
      <c r="D145" s="24">
        <v>50.516460000000002</v>
      </c>
    </row>
    <row r="146" spans="1:4" x14ac:dyDescent="0.3">
      <c r="A146" t="s">
        <v>235</v>
      </c>
      <c r="B146" t="s">
        <v>244</v>
      </c>
      <c r="C146" s="24">
        <v>28.65578</v>
      </c>
      <c r="D146" s="24">
        <v>51.376260000000002</v>
      </c>
    </row>
    <row r="147" spans="1:4" x14ac:dyDescent="0.3">
      <c r="A147" t="s">
        <v>235</v>
      </c>
      <c r="B147" t="s">
        <v>245</v>
      </c>
      <c r="C147" s="23">
        <v>27.870272</v>
      </c>
      <c r="D147" s="23">
        <v>52.025368999999998</v>
      </c>
    </row>
    <row r="148" spans="1:4" x14ac:dyDescent="0.3">
      <c r="A148" t="s">
        <v>235</v>
      </c>
      <c r="B148" t="s">
        <v>246</v>
      </c>
      <c r="C148" s="25">
        <v>29.2685</v>
      </c>
      <c r="D148" s="24">
        <v>51.21669</v>
      </c>
    </row>
    <row r="149" spans="1:4" x14ac:dyDescent="0.3">
      <c r="A149" t="s">
        <v>235</v>
      </c>
      <c r="B149" t="s">
        <v>247</v>
      </c>
      <c r="C149" s="23">
        <v>28.986819000000001</v>
      </c>
      <c r="D149" s="23">
        <v>51.034011</v>
      </c>
    </row>
    <row r="150" spans="1:4" x14ac:dyDescent="0.3">
      <c r="A150" t="s">
        <v>235</v>
      </c>
      <c r="B150" t="s">
        <v>248</v>
      </c>
      <c r="C150" s="23">
        <v>29.482510999999999</v>
      </c>
      <c r="D150" s="23">
        <v>51.243330999999998</v>
      </c>
    </row>
    <row r="151" spans="1:4" x14ac:dyDescent="0.3">
      <c r="A151" t="s">
        <v>235</v>
      </c>
      <c r="B151" t="s">
        <v>249</v>
      </c>
      <c r="C151" s="23">
        <v>27.494719</v>
      </c>
      <c r="D151" s="23">
        <v>52.583933000000002</v>
      </c>
    </row>
    <row r="152" spans="1:4" x14ac:dyDescent="0.3">
      <c r="A152" t="s">
        <v>235</v>
      </c>
      <c r="B152" t="s">
        <v>250</v>
      </c>
      <c r="C152" s="23">
        <v>28.080193999999999</v>
      </c>
      <c r="D152" s="23">
        <v>51.768467000000001</v>
      </c>
    </row>
    <row r="153" spans="1:4" x14ac:dyDescent="0.3">
      <c r="A153" t="s">
        <v>235</v>
      </c>
      <c r="B153" t="s">
        <v>251</v>
      </c>
      <c r="C153" s="23">
        <v>29.389130999999999</v>
      </c>
      <c r="D153" s="23">
        <v>51.119861</v>
      </c>
    </row>
    <row r="154" spans="1:4" x14ac:dyDescent="0.3">
      <c r="A154" t="s">
        <v>235</v>
      </c>
      <c r="B154" t="s">
        <v>252</v>
      </c>
      <c r="C154" s="23">
        <v>29.431061</v>
      </c>
      <c r="D154" s="24">
        <v>51.289050000000003</v>
      </c>
    </row>
    <row r="155" spans="1:4" x14ac:dyDescent="0.3">
      <c r="A155" t="s">
        <v>235</v>
      </c>
      <c r="B155" t="s">
        <v>253</v>
      </c>
      <c r="C155" s="25">
        <v>29.2547</v>
      </c>
      <c r="D155" s="25">
        <v>50.325600000000001</v>
      </c>
    </row>
    <row r="156" spans="1:4" x14ac:dyDescent="0.3">
      <c r="A156" t="s">
        <v>235</v>
      </c>
      <c r="B156" t="s">
        <v>254</v>
      </c>
      <c r="C156" s="24">
        <v>28.343240000000002</v>
      </c>
      <c r="D156" s="24">
        <v>51.526960000000003</v>
      </c>
    </row>
    <row r="157" spans="1:4" x14ac:dyDescent="0.3">
      <c r="A157" t="s">
        <v>235</v>
      </c>
      <c r="B157" t="s">
        <v>255</v>
      </c>
      <c r="C157" s="23">
        <v>28.046575000000001</v>
      </c>
      <c r="D157" s="23">
        <v>52.091647000000002</v>
      </c>
    </row>
    <row r="158" spans="1:4" x14ac:dyDescent="0.3">
      <c r="A158" t="s">
        <v>235</v>
      </c>
      <c r="B158" t="s">
        <v>256</v>
      </c>
      <c r="C158" s="24">
        <v>28.88279</v>
      </c>
      <c r="D158" s="24">
        <v>51.275359999999999</v>
      </c>
    </row>
    <row r="159" spans="1:4" x14ac:dyDescent="0.3">
      <c r="A159" t="s">
        <v>235</v>
      </c>
      <c r="B159" t="s">
        <v>257</v>
      </c>
      <c r="C159" s="23">
        <v>28.762481000000001</v>
      </c>
      <c r="D159" s="25">
        <v>51.071199999999997</v>
      </c>
    </row>
    <row r="160" spans="1:4" x14ac:dyDescent="0.3">
      <c r="A160" t="s">
        <v>235</v>
      </c>
      <c r="B160" t="s">
        <v>258</v>
      </c>
      <c r="C160" s="23">
        <v>27.475842</v>
      </c>
      <c r="D160" s="23">
        <v>52.606971999999999</v>
      </c>
    </row>
    <row r="161" spans="1:4" x14ac:dyDescent="0.3">
      <c r="A161" t="s">
        <v>235</v>
      </c>
      <c r="B161" t="s">
        <v>259</v>
      </c>
      <c r="C161" s="23">
        <v>29.155811</v>
      </c>
      <c r="D161" s="23">
        <v>51.526411000000003</v>
      </c>
    </row>
    <row r="162" spans="1:4" x14ac:dyDescent="0.3">
      <c r="A162" t="s">
        <v>260</v>
      </c>
      <c r="B162" t="s">
        <v>261</v>
      </c>
      <c r="C162" s="23">
        <v>35.601610999999998</v>
      </c>
      <c r="D162" s="23">
        <v>51.441310999999999</v>
      </c>
    </row>
    <row r="163" spans="1:4" x14ac:dyDescent="0.3">
      <c r="A163" t="s">
        <v>260</v>
      </c>
      <c r="B163" t="s">
        <v>262</v>
      </c>
      <c r="C163" s="24">
        <v>35.979979999999998</v>
      </c>
      <c r="D163" s="24">
        <v>50.739739999999998</v>
      </c>
    </row>
    <row r="164" spans="1:4" x14ac:dyDescent="0.3">
      <c r="A164" t="s">
        <v>260</v>
      </c>
      <c r="B164" t="s">
        <v>263</v>
      </c>
      <c r="C164" s="24">
        <v>35.955640000000002</v>
      </c>
      <c r="D164" s="24">
        <v>50.614710000000002</v>
      </c>
    </row>
    <row r="165" spans="1:4" x14ac:dyDescent="0.3">
      <c r="A165" t="s">
        <v>260</v>
      </c>
      <c r="B165" t="s">
        <v>264</v>
      </c>
      <c r="C165" s="23">
        <v>35.325674999999997</v>
      </c>
      <c r="D165" s="23">
        <v>51.647677999999999</v>
      </c>
    </row>
    <row r="166" spans="1:4" x14ac:dyDescent="0.3">
      <c r="A166" t="s">
        <v>260</v>
      </c>
      <c r="B166" t="s">
        <v>265</v>
      </c>
      <c r="C166" s="23">
        <v>35.610019000000001</v>
      </c>
      <c r="D166" s="23">
        <v>51.307467000000003</v>
      </c>
    </row>
    <row r="167" spans="1:4" x14ac:dyDescent="0.3">
      <c r="A167" t="s">
        <v>260</v>
      </c>
      <c r="B167" t="s">
        <v>266</v>
      </c>
      <c r="C167" s="25">
        <v>35.752800000000001</v>
      </c>
      <c r="D167" s="24">
        <v>50.903889999999997</v>
      </c>
    </row>
    <row r="168" spans="1:4" x14ac:dyDescent="0.3">
      <c r="A168" t="s">
        <v>260</v>
      </c>
      <c r="B168" t="s">
        <v>267</v>
      </c>
      <c r="C168" s="23">
        <v>35.653588999999997</v>
      </c>
      <c r="D168" s="23">
        <v>51.061211</v>
      </c>
    </row>
    <row r="169" spans="1:4" x14ac:dyDescent="0.3">
      <c r="A169" t="s">
        <v>260</v>
      </c>
      <c r="B169" t="s">
        <v>268</v>
      </c>
      <c r="C169" s="25">
        <v>35.573399999999999</v>
      </c>
      <c r="D169" s="25">
        <v>51.084600000000002</v>
      </c>
    </row>
    <row r="170" spans="1:4" x14ac:dyDescent="0.3">
      <c r="A170" t="s">
        <v>260</v>
      </c>
      <c r="B170" t="s">
        <v>269</v>
      </c>
      <c r="C170" s="23">
        <v>35.562781000000001</v>
      </c>
      <c r="D170" s="23">
        <v>51.160553</v>
      </c>
    </row>
    <row r="171" spans="1:4" x14ac:dyDescent="0.3">
      <c r="A171" t="s">
        <v>260</v>
      </c>
      <c r="B171" t="s">
        <v>270</v>
      </c>
      <c r="C171" s="25">
        <v>35.745600000000003</v>
      </c>
      <c r="D171" s="23">
        <v>51.872841999999999</v>
      </c>
    </row>
    <row r="172" spans="1:4" x14ac:dyDescent="0.3">
      <c r="A172" t="s">
        <v>260</v>
      </c>
      <c r="B172" t="s">
        <v>271</v>
      </c>
      <c r="C172" s="25">
        <v>35.596600000000002</v>
      </c>
      <c r="D172" s="26">
        <v>51.064</v>
      </c>
    </row>
    <row r="173" spans="1:4" x14ac:dyDescent="0.3">
      <c r="A173" t="s">
        <v>260</v>
      </c>
      <c r="B173" t="s">
        <v>272</v>
      </c>
      <c r="C173" s="23">
        <v>35.815491999999999</v>
      </c>
      <c r="D173" s="23">
        <v>52.512822</v>
      </c>
    </row>
    <row r="174" spans="1:4" x14ac:dyDescent="0.3">
      <c r="A174" t="s">
        <v>260</v>
      </c>
      <c r="B174" t="s">
        <v>273</v>
      </c>
      <c r="C174" s="23">
        <v>36.178708</v>
      </c>
      <c r="D174" s="23">
        <v>50.765546999999998</v>
      </c>
    </row>
    <row r="175" spans="1:4" x14ac:dyDescent="0.3">
      <c r="A175" t="s">
        <v>260</v>
      </c>
      <c r="B175" t="s">
        <v>274</v>
      </c>
      <c r="C175" s="23">
        <v>35.520460999999997</v>
      </c>
      <c r="D175" s="23">
        <v>51.166263999999998</v>
      </c>
    </row>
    <row r="176" spans="1:4" x14ac:dyDescent="0.3">
      <c r="A176" t="s">
        <v>260</v>
      </c>
      <c r="B176" t="s">
        <v>275</v>
      </c>
      <c r="C176" s="25">
        <v>35.426299999999998</v>
      </c>
      <c r="D176" s="25">
        <v>51.780099999999997</v>
      </c>
    </row>
    <row r="177" spans="1:4" x14ac:dyDescent="0.3">
      <c r="A177" t="s">
        <v>260</v>
      </c>
      <c r="B177" t="s">
        <v>276</v>
      </c>
      <c r="C177" s="25">
        <v>35.737099999999998</v>
      </c>
      <c r="D177" s="25">
        <v>51.817300000000003</v>
      </c>
    </row>
    <row r="178" spans="1:4" x14ac:dyDescent="0.3">
      <c r="A178" t="s">
        <v>260</v>
      </c>
      <c r="B178" t="s">
        <v>277</v>
      </c>
      <c r="C178" s="23">
        <v>35.550052999999998</v>
      </c>
      <c r="D178" s="23">
        <v>51.229807999999998</v>
      </c>
    </row>
    <row r="179" spans="1:4" x14ac:dyDescent="0.3">
      <c r="A179" t="s">
        <v>260</v>
      </c>
      <c r="B179" t="s">
        <v>278</v>
      </c>
      <c r="C179" s="23">
        <v>35.577993999999997</v>
      </c>
      <c r="D179" s="23">
        <v>51.115603</v>
      </c>
    </row>
    <row r="180" spans="1:4" x14ac:dyDescent="0.3">
      <c r="A180" t="s">
        <v>260</v>
      </c>
      <c r="B180" t="s">
        <v>279</v>
      </c>
      <c r="C180" s="25">
        <v>35.6066</v>
      </c>
      <c r="D180" s="25">
        <v>51.045900000000003</v>
      </c>
    </row>
    <row r="181" spans="1:4" x14ac:dyDescent="0.3">
      <c r="A181" t="s">
        <v>260</v>
      </c>
      <c r="B181" t="s">
        <v>280</v>
      </c>
      <c r="C181" s="23">
        <v>35.728731000000003</v>
      </c>
      <c r="D181" s="23">
        <v>52.068586000000003</v>
      </c>
    </row>
    <row r="182" spans="1:4" x14ac:dyDescent="0.3">
      <c r="A182" t="s">
        <v>260</v>
      </c>
      <c r="B182" t="s">
        <v>281</v>
      </c>
      <c r="C182" s="23">
        <v>35.508408000000003</v>
      </c>
      <c r="D182" s="23">
        <v>51.190403000000003</v>
      </c>
    </row>
    <row r="183" spans="1:4" x14ac:dyDescent="0.3">
      <c r="A183" t="s">
        <v>260</v>
      </c>
      <c r="B183" t="s">
        <v>282</v>
      </c>
      <c r="C183" s="23">
        <v>35.863191999999998</v>
      </c>
      <c r="D183" s="23">
        <v>50.871321999999999</v>
      </c>
    </row>
    <row r="184" spans="1:4" x14ac:dyDescent="0.3">
      <c r="A184" t="s">
        <v>260</v>
      </c>
      <c r="B184" t="s">
        <v>283</v>
      </c>
      <c r="C184" s="27">
        <v>35.75</v>
      </c>
      <c r="D184" s="26">
        <v>51.375</v>
      </c>
    </row>
    <row r="185" spans="1:4" x14ac:dyDescent="0.3">
      <c r="A185" t="s">
        <v>260</v>
      </c>
      <c r="B185" t="s">
        <v>284</v>
      </c>
      <c r="C185" s="23">
        <v>35.929875000000003</v>
      </c>
      <c r="D185" s="23">
        <v>51.526632999999997</v>
      </c>
    </row>
    <row r="186" spans="1:4" x14ac:dyDescent="0.3">
      <c r="A186" t="s">
        <v>260</v>
      </c>
      <c r="B186" t="s">
        <v>285</v>
      </c>
      <c r="C186" s="23">
        <v>35.760772000000003</v>
      </c>
      <c r="D186" s="23">
        <v>51.966183000000001</v>
      </c>
    </row>
    <row r="187" spans="1:4" x14ac:dyDescent="0.3">
      <c r="A187" t="s">
        <v>260</v>
      </c>
      <c r="B187" t="s">
        <v>286</v>
      </c>
      <c r="C187" s="23">
        <v>35.515971999999998</v>
      </c>
      <c r="D187" s="23">
        <v>51.362211000000002</v>
      </c>
    </row>
    <row r="188" spans="1:4" x14ac:dyDescent="0.3">
      <c r="A188" t="s">
        <v>260</v>
      </c>
      <c r="B188" t="s">
        <v>287</v>
      </c>
      <c r="C188" s="23">
        <v>35.367252999999998</v>
      </c>
      <c r="D188" s="23">
        <v>51.234706000000003</v>
      </c>
    </row>
    <row r="189" spans="1:4" x14ac:dyDescent="0.3">
      <c r="A189" t="s">
        <v>260</v>
      </c>
      <c r="B189" t="s">
        <v>288</v>
      </c>
      <c r="C189" s="25">
        <v>35.695500000000003</v>
      </c>
      <c r="D189" s="25">
        <v>51.1218</v>
      </c>
    </row>
    <row r="190" spans="1:4" x14ac:dyDescent="0.3">
      <c r="A190" t="s">
        <v>260</v>
      </c>
      <c r="B190" t="s">
        <v>281</v>
      </c>
      <c r="C190" s="23">
        <v>35.691738999999998</v>
      </c>
      <c r="D190" s="23">
        <v>61.087625000000003</v>
      </c>
    </row>
    <row r="191" spans="1:4" x14ac:dyDescent="0.3">
      <c r="A191" t="s">
        <v>260</v>
      </c>
      <c r="B191" t="s">
        <v>289</v>
      </c>
      <c r="C191" s="23">
        <v>35.831839000000002</v>
      </c>
      <c r="D191" s="23">
        <v>50.853689000000003</v>
      </c>
    </row>
    <row r="192" spans="1:4" x14ac:dyDescent="0.3">
      <c r="A192" t="s">
        <v>260</v>
      </c>
      <c r="B192" t="s">
        <v>290</v>
      </c>
      <c r="C192" s="24">
        <v>35.695740000000001</v>
      </c>
      <c r="D192" s="24">
        <v>50.96407</v>
      </c>
    </row>
    <row r="193" spans="1:4" x14ac:dyDescent="0.3">
      <c r="A193" t="s">
        <v>260</v>
      </c>
      <c r="B193" t="s">
        <v>291</v>
      </c>
      <c r="C193" s="23">
        <v>35.532836000000003</v>
      </c>
      <c r="D193" s="23">
        <v>51.404136000000001</v>
      </c>
    </row>
    <row r="194" spans="1:4" x14ac:dyDescent="0.3">
      <c r="A194" t="s">
        <v>260</v>
      </c>
      <c r="B194" t="s">
        <v>292</v>
      </c>
      <c r="C194" s="23">
        <v>35.439413999999999</v>
      </c>
      <c r="D194" s="23">
        <v>51.567121999999998</v>
      </c>
    </row>
    <row r="195" spans="1:4" x14ac:dyDescent="0.3">
      <c r="A195" t="s">
        <v>260</v>
      </c>
      <c r="B195" t="s">
        <v>293</v>
      </c>
      <c r="C195" s="23">
        <v>35.735064000000001</v>
      </c>
      <c r="D195" s="23">
        <v>51.907218999999998</v>
      </c>
    </row>
    <row r="196" spans="1:4" x14ac:dyDescent="0.3">
      <c r="A196" t="s">
        <v>260</v>
      </c>
      <c r="B196" t="s">
        <v>294</v>
      </c>
      <c r="C196" s="23">
        <v>35.306758000000002</v>
      </c>
      <c r="D196" s="23">
        <v>51.721210999999997</v>
      </c>
    </row>
    <row r="197" spans="1:4" x14ac:dyDescent="0.3">
      <c r="A197" t="s">
        <v>295</v>
      </c>
      <c r="B197" t="s">
        <v>296</v>
      </c>
      <c r="C197" s="24">
        <v>35.84272</v>
      </c>
      <c r="D197" s="24">
        <v>50.977150000000002</v>
      </c>
    </row>
    <row r="198" spans="1:4" x14ac:dyDescent="0.3">
      <c r="A198" t="s">
        <v>260</v>
      </c>
      <c r="B198" t="s">
        <v>287</v>
      </c>
      <c r="C198" s="24">
        <v>32.140779999999999</v>
      </c>
      <c r="D198" s="24">
        <v>52.624490000000002</v>
      </c>
    </row>
    <row r="199" spans="1:4" x14ac:dyDescent="0.3">
      <c r="A199" t="s">
        <v>260</v>
      </c>
      <c r="B199" t="s">
        <v>297</v>
      </c>
      <c r="C199" s="23">
        <v>35.494706000000001</v>
      </c>
      <c r="D199" s="23">
        <v>51.143864000000001</v>
      </c>
    </row>
    <row r="200" spans="1:4" x14ac:dyDescent="0.3">
      <c r="A200" t="s">
        <v>260</v>
      </c>
      <c r="B200" t="s">
        <v>298</v>
      </c>
      <c r="C200" s="23">
        <v>35.691664000000003</v>
      </c>
      <c r="D200" s="23">
        <v>51.024996999999999</v>
      </c>
    </row>
    <row r="201" spans="1:4" x14ac:dyDescent="0.3">
      <c r="A201" t="s">
        <v>260</v>
      </c>
      <c r="B201" t="s">
        <v>299</v>
      </c>
      <c r="C201" s="23">
        <v>35.952418999999999</v>
      </c>
      <c r="D201" s="23">
        <v>50.790788999999997</v>
      </c>
    </row>
    <row r="202" spans="1:4" x14ac:dyDescent="0.3">
      <c r="A202" t="s">
        <v>260</v>
      </c>
      <c r="B202" t="s">
        <v>300</v>
      </c>
      <c r="C202" s="23">
        <v>35.551077999999997</v>
      </c>
      <c r="D202" s="23">
        <v>52.166319000000001</v>
      </c>
    </row>
    <row r="203" spans="1:4" x14ac:dyDescent="0.3">
      <c r="A203" t="s">
        <v>260</v>
      </c>
      <c r="B203" t="s">
        <v>301</v>
      </c>
      <c r="C203" s="25">
        <v>35.751800000000003</v>
      </c>
      <c r="D203" s="25">
        <v>50.936199999999999</v>
      </c>
    </row>
    <row r="204" spans="1:4" x14ac:dyDescent="0.3">
      <c r="A204" t="s">
        <v>260</v>
      </c>
      <c r="B204" t="s">
        <v>302</v>
      </c>
      <c r="C204" s="23">
        <v>35.755941999999997</v>
      </c>
      <c r="D204" s="23">
        <v>52.773285999999999</v>
      </c>
    </row>
    <row r="205" spans="1:4" x14ac:dyDescent="0.3">
      <c r="A205" t="s">
        <v>260</v>
      </c>
      <c r="B205" t="s">
        <v>303</v>
      </c>
      <c r="C205" s="27">
        <v>35.75</v>
      </c>
      <c r="D205" s="23">
        <v>51.066661000000003</v>
      </c>
    </row>
    <row r="206" spans="1:4" x14ac:dyDescent="0.3">
      <c r="A206" t="s">
        <v>260</v>
      </c>
      <c r="B206" t="s">
        <v>304</v>
      </c>
      <c r="C206" s="23">
        <v>35.474961</v>
      </c>
      <c r="D206" s="23">
        <v>51.675969000000002</v>
      </c>
    </row>
    <row r="207" spans="1:4" x14ac:dyDescent="0.3">
      <c r="A207" t="s">
        <v>260</v>
      </c>
      <c r="B207" t="s">
        <v>305</v>
      </c>
      <c r="C207" s="23">
        <v>35.963994</v>
      </c>
      <c r="D207" s="23">
        <v>50.685664000000003</v>
      </c>
    </row>
    <row r="208" spans="1:4" x14ac:dyDescent="0.3">
      <c r="A208" t="s">
        <v>260</v>
      </c>
      <c r="B208" t="s">
        <v>306</v>
      </c>
      <c r="C208" s="24">
        <v>35.724969999999999</v>
      </c>
      <c r="D208" s="24">
        <v>50.370629999999998</v>
      </c>
    </row>
    <row r="209" spans="1:4" x14ac:dyDescent="0.3">
      <c r="A209" t="s">
        <v>260</v>
      </c>
      <c r="B209" t="s">
        <v>307</v>
      </c>
      <c r="C209" s="23">
        <v>35.650660999999999</v>
      </c>
      <c r="D209" s="23">
        <v>52.013761000000002</v>
      </c>
    </row>
    <row r="210" spans="1:4" x14ac:dyDescent="0.3">
      <c r="A210" t="s">
        <v>260</v>
      </c>
      <c r="B210" t="s">
        <v>308</v>
      </c>
      <c r="C210" s="23">
        <v>35.684488999999999</v>
      </c>
      <c r="D210" s="23">
        <v>50.824657999999999</v>
      </c>
    </row>
    <row r="211" spans="1:4" x14ac:dyDescent="0.3">
      <c r="A211" t="s">
        <v>260</v>
      </c>
      <c r="B211" t="s">
        <v>281</v>
      </c>
      <c r="C211" s="24">
        <v>34.924610000000001</v>
      </c>
      <c r="D211" s="24">
        <v>48.343290000000003</v>
      </c>
    </row>
    <row r="212" spans="1:4" x14ac:dyDescent="0.3">
      <c r="A212" t="s">
        <v>260</v>
      </c>
      <c r="B212" t="s">
        <v>281</v>
      </c>
      <c r="C212" s="23">
        <v>33.471639000000003</v>
      </c>
      <c r="D212" s="23">
        <v>46.186630999999998</v>
      </c>
    </row>
    <row r="213" spans="1:4" x14ac:dyDescent="0.3">
      <c r="A213" t="s">
        <v>260</v>
      </c>
      <c r="B213" t="s">
        <v>309</v>
      </c>
      <c r="C213" s="23">
        <v>35.819341999999999</v>
      </c>
      <c r="D213" s="23">
        <v>51.631906000000001</v>
      </c>
    </row>
    <row r="214" spans="1:4" x14ac:dyDescent="0.3">
      <c r="A214" t="s">
        <v>260</v>
      </c>
      <c r="B214" t="s">
        <v>310</v>
      </c>
      <c r="C214" s="24">
        <v>35.727930000000001</v>
      </c>
      <c r="D214" s="24">
        <v>50.808309999999999</v>
      </c>
    </row>
    <row r="215" spans="1:4" x14ac:dyDescent="0.3">
      <c r="A215" t="s">
        <v>260</v>
      </c>
      <c r="B215" t="s">
        <v>311</v>
      </c>
      <c r="C215" s="23">
        <v>35.210538999999997</v>
      </c>
      <c r="D215" s="23">
        <v>51.676063999999997</v>
      </c>
    </row>
    <row r="216" spans="1:4" x14ac:dyDescent="0.3">
      <c r="A216" t="s">
        <v>260</v>
      </c>
      <c r="B216" t="s">
        <v>312</v>
      </c>
      <c r="C216" s="23">
        <v>35.883330999999998</v>
      </c>
      <c r="D216" s="23">
        <v>50.966661000000002</v>
      </c>
    </row>
    <row r="217" spans="1:4" x14ac:dyDescent="0.3">
      <c r="A217" t="s">
        <v>313</v>
      </c>
      <c r="B217" t="s">
        <v>314</v>
      </c>
      <c r="C217" s="24">
        <v>32.218020000000003</v>
      </c>
      <c r="D217" s="24">
        <v>50.69679</v>
      </c>
    </row>
    <row r="218" spans="1:4" x14ac:dyDescent="0.3">
      <c r="A218" t="s">
        <v>313</v>
      </c>
      <c r="B218" t="s">
        <v>315</v>
      </c>
      <c r="C218" s="24">
        <v>32.218020000000003</v>
      </c>
      <c r="D218" s="24">
        <v>50.835090000000001</v>
      </c>
    </row>
    <row r="219" spans="1:4" x14ac:dyDescent="0.3">
      <c r="A219" t="s">
        <v>313</v>
      </c>
      <c r="B219" t="s">
        <v>316</v>
      </c>
      <c r="C219" s="24">
        <v>31.974419999999999</v>
      </c>
      <c r="D219" s="24">
        <v>51.285069999999997</v>
      </c>
    </row>
    <row r="220" spans="1:4" x14ac:dyDescent="0.3">
      <c r="A220" t="s">
        <v>313</v>
      </c>
      <c r="B220" t="s">
        <v>317</v>
      </c>
      <c r="C220" s="23">
        <v>31.512528</v>
      </c>
      <c r="D220" s="23">
        <v>50.830357999999997</v>
      </c>
    </row>
    <row r="221" spans="1:4" x14ac:dyDescent="0.3">
      <c r="A221" t="s">
        <v>313</v>
      </c>
      <c r="B221" t="s">
        <v>318</v>
      </c>
      <c r="C221" s="23">
        <v>32.467339000000003</v>
      </c>
      <c r="D221" s="25">
        <v>50.122399999999999</v>
      </c>
    </row>
    <row r="222" spans="1:4" x14ac:dyDescent="0.3">
      <c r="A222" t="s">
        <v>313</v>
      </c>
      <c r="B222" t="s">
        <v>319</v>
      </c>
      <c r="C222" s="24">
        <v>32.32929</v>
      </c>
      <c r="D222" s="24">
        <v>50.467930000000003</v>
      </c>
    </row>
    <row r="223" spans="1:4" x14ac:dyDescent="0.3">
      <c r="A223" t="s">
        <v>313</v>
      </c>
      <c r="B223" t="s">
        <v>320</v>
      </c>
      <c r="C223" s="24">
        <v>32.453249999999997</v>
      </c>
      <c r="D223" s="24">
        <v>50.910170000000001</v>
      </c>
    </row>
    <row r="224" spans="1:4" x14ac:dyDescent="0.3">
      <c r="A224" t="s">
        <v>313</v>
      </c>
      <c r="B224" t="s">
        <v>321</v>
      </c>
      <c r="C224" s="24">
        <v>32.264029999999998</v>
      </c>
      <c r="D224" s="25">
        <v>50.563600000000001</v>
      </c>
    </row>
    <row r="225" spans="1:4" x14ac:dyDescent="0.3">
      <c r="A225" t="s">
        <v>313</v>
      </c>
      <c r="B225" t="s">
        <v>322</v>
      </c>
      <c r="C225" s="26">
        <v>31.291</v>
      </c>
      <c r="D225" s="23">
        <v>51.256681</v>
      </c>
    </row>
    <row r="226" spans="1:4" x14ac:dyDescent="0.3">
      <c r="A226" t="s">
        <v>313</v>
      </c>
      <c r="B226" t="s">
        <v>323</v>
      </c>
      <c r="C226" s="24">
        <v>31.93656</v>
      </c>
      <c r="D226" s="25">
        <v>51.051299999999998</v>
      </c>
    </row>
    <row r="227" spans="1:4" x14ac:dyDescent="0.3">
      <c r="A227" t="s">
        <v>313</v>
      </c>
      <c r="B227" t="s">
        <v>324</v>
      </c>
      <c r="C227" s="24">
        <v>32.288449999999997</v>
      </c>
      <c r="D227" s="24">
        <v>50.89631</v>
      </c>
    </row>
    <row r="228" spans="1:4" x14ac:dyDescent="0.3">
      <c r="A228" t="s">
        <v>313</v>
      </c>
      <c r="B228" t="s">
        <v>325</v>
      </c>
      <c r="C228" s="23">
        <v>31.553411000000001</v>
      </c>
      <c r="D228" s="23">
        <v>51.062989000000002</v>
      </c>
    </row>
    <row r="229" spans="1:4" x14ac:dyDescent="0.3">
      <c r="A229" t="s">
        <v>313</v>
      </c>
      <c r="B229" t="s">
        <v>326</v>
      </c>
      <c r="C229" s="23">
        <v>32.523460999999998</v>
      </c>
      <c r="D229" s="23">
        <v>50.395831000000001</v>
      </c>
    </row>
    <row r="230" spans="1:4" x14ac:dyDescent="0.3">
      <c r="A230" t="s">
        <v>313</v>
      </c>
      <c r="B230" t="s">
        <v>327</v>
      </c>
      <c r="C230" s="24">
        <v>32.424329999999998</v>
      </c>
      <c r="D230" s="24">
        <v>50.783619999999999</v>
      </c>
    </row>
    <row r="231" spans="1:4" x14ac:dyDescent="0.3">
      <c r="A231" t="s">
        <v>313</v>
      </c>
      <c r="B231" t="s">
        <v>328</v>
      </c>
      <c r="C231" s="24">
        <v>32.225140000000003</v>
      </c>
      <c r="D231" s="24">
        <v>50.796340000000001</v>
      </c>
    </row>
    <row r="232" spans="1:4" x14ac:dyDescent="0.3">
      <c r="A232" t="s">
        <v>313</v>
      </c>
      <c r="B232" t="s">
        <v>329</v>
      </c>
      <c r="C232" s="24">
        <v>32.153359999999999</v>
      </c>
      <c r="D232" s="24">
        <v>50.684840000000001</v>
      </c>
    </row>
    <row r="233" spans="1:4" x14ac:dyDescent="0.3">
      <c r="A233" t="s">
        <v>313</v>
      </c>
      <c r="B233" t="s">
        <v>330</v>
      </c>
      <c r="C233" s="24">
        <v>31.865449999999999</v>
      </c>
      <c r="D233" s="24">
        <v>51.152410000000003</v>
      </c>
    </row>
    <row r="234" spans="1:4" x14ac:dyDescent="0.3">
      <c r="A234" t="s">
        <v>313</v>
      </c>
      <c r="B234" t="s">
        <v>331</v>
      </c>
      <c r="C234" s="24">
        <v>32.32676</v>
      </c>
      <c r="D234" s="24">
        <v>50.859009999999998</v>
      </c>
    </row>
    <row r="235" spans="1:4" x14ac:dyDescent="0.3">
      <c r="A235" t="s">
        <v>313</v>
      </c>
      <c r="B235" t="s">
        <v>332</v>
      </c>
      <c r="C235" s="24">
        <v>32.323030000000003</v>
      </c>
      <c r="D235" s="24">
        <v>50.675690000000003</v>
      </c>
    </row>
    <row r="236" spans="1:4" x14ac:dyDescent="0.3">
      <c r="A236" t="s">
        <v>313</v>
      </c>
      <c r="B236" t="s">
        <v>333</v>
      </c>
      <c r="C236" s="24">
        <v>32.044460000000001</v>
      </c>
      <c r="D236" s="24">
        <v>50.82058</v>
      </c>
    </row>
    <row r="237" spans="1:4" x14ac:dyDescent="0.3">
      <c r="A237" t="s">
        <v>313</v>
      </c>
      <c r="B237" t="s">
        <v>334</v>
      </c>
      <c r="C237" s="22">
        <v>32</v>
      </c>
      <c r="D237" s="23">
        <v>50.660153000000001</v>
      </c>
    </row>
    <row r="238" spans="1:4" x14ac:dyDescent="0.3">
      <c r="A238" t="s">
        <v>313</v>
      </c>
      <c r="B238" t="s">
        <v>335</v>
      </c>
      <c r="C238" s="23">
        <v>31.938661</v>
      </c>
      <c r="D238" s="23">
        <v>50.735697000000002</v>
      </c>
    </row>
    <row r="239" spans="1:4" x14ac:dyDescent="0.3">
      <c r="A239" t="s">
        <v>313</v>
      </c>
      <c r="B239" t="s">
        <v>336</v>
      </c>
      <c r="C239" s="24">
        <v>32.54569</v>
      </c>
      <c r="D239" s="24">
        <v>50.744480000000003</v>
      </c>
    </row>
    <row r="240" spans="1:4" x14ac:dyDescent="0.3">
      <c r="A240" t="s">
        <v>313</v>
      </c>
      <c r="B240" t="s">
        <v>337</v>
      </c>
      <c r="C240" s="24">
        <v>32.13062</v>
      </c>
      <c r="D240" s="24">
        <v>51.181510000000003</v>
      </c>
    </row>
    <row r="241" spans="1:4" x14ac:dyDescent="0.3">
      <c r="A241" t="s">
        <v>313</v>
      </c>
      <c r="B241" t="s">
        <v>338</v>
      </c>
      <c r="C241" s="23">
        <v>32.276381000000001</v>
      </c>
      <c r="D241" s="23">
        <v>50.984718999999998</v>
      </c>
    </row>
    <row r="242" spans="1:4" x14ac:dyDescent="0.3">
      <c r="A242" t="s">
        <v>313</v>
      </c>
      <c r="B242" t="s">
        <v>339</v>
      </c>
      <c r="C242" s="23">
        <v>32.002310999999999</v>
      </c>
      <c r="D242" s="23">
        <v>50.886418999999997</v>
      </c>
    </row>
    <row r="243" spans="1:4" x14ac:dyDescent="0.3">
      <c r="A243" t="s">
        <v>340</v>
      </c>
      <c r="B243" t="s">
        <v>341</v>
      </c>
      <c r="C243" s="23">
        <v>33.651389000000002</v>
      </c>
      <c r="D243" s="25">
        <v>59.781599999999997</v>
      </c>
    </row>
    <row r="244" spans="1:4" x14ac:dyDescent="0.3">
      <c r="A244" t="s">
        <v>340</v>
      </c>
      <c r="B244" t="s">
        <v>342</v>
      </c>
      <c r="C244" s="23">
        <v>32.577106000000001</v>
      </c>
      <c r="D244" s="23">
        <v>59.798538999999998</v>
      </c>
    </row>
    <row r="245" spans="1:4" x14ac:dyDescent="0.3">
      <c r="A245" t="s">
        <v>340</v>
      </c>
      <c r="B245" t="s">
        <v>343</v>
      </c>
      <c r="C245" s="24">
        <v>34.019930000000002</v>
      </c>
      <c r="D245" s="24">
        <v>58.175319999999999</v>
      </c>
    </row>
    <row r="246" spans="1:4" x14ac:dyDescent="0.3">
      <c r="A246" t="s">
        <v>340</v>
      </c>
      <c r="B246" t="s">
        <v>344</v>
      </c>
      <c r="C246" s="23">
        <v>31.804957999999999</v>
      </c>
      <c r="D246" s="23">
        <v>60.014024999999997</v>
      </c>
    </row>
    <row r="247" spans="1:4" x14ac:dyDescent="0.3">
      <c r="A247" t="s">
        <v>340</v>
      </c>
      <c r="B247" t="s">
        <v>345</v>
      </c>
      <c r="C247" s="23">
        <v>33.331839000000002</v>
      </c>
      <c r="D247" s="23">
        <v>59.236888999999998</v>
      </c>
    </row>
    <row r="248" spans="1:4" x14ac:dyDescent="0.3">
      <c r="A248" t="s">
        <v>340</v>
      </c>
      <c r="B248" t="s">
        <v>346</v>
      </c>
      <c r="C248" s="23">
        <v>33.861364000000002</v>
      </c>
      <c r="D248" s="24">
        <v>58.524850000000001</v>
      </c>
    </row>
    <row r="249" spans="1:4" x14ac:dyDescent="0.3">
      <c r="A249" t="s">
        <v>340</v>
      </c>
      <c r="B249" t="s">
        <v>347</v>
      </c>
      <c r="C249" s="23">
        <v>33.885841999999997</v>
      </c>
      <c r="D249" s="23">
        <v>58.381228</v>
      </c>
    </row>
    <row r="250" spans="1:4" x14ac:dyDescent="0.3">
      <c r="A250" t="s">
        <v>340</v>
      </c>
      <c r="B250" t="s">
        <v>348</v>
      </c>
      <c r="C250" s="24">
        <v>28.307210000000001</v>
      </c>
      <c r="D250" s="24">
        <v>55.898420000000002</v>
      </c>
    </row>
    <row r="251" spans="1:4" x14ac:dyDescent="0.3">
      <c r="A251" t="s">
        <v>340</v>
      </c>
      <c r="B251" t="s">
        <v>349</v>
      </c>
      <c r="C251" s="23">
        <v>32.771669000000003</v>
      </c>
      <c r="D251" s="23">
        <v>58.857311000000003</v>
      </c>
    </row>
    <row r="252" spans="1:4" x14ac:dyDescent="0.3">
      <c r="A252" t="s">
        <v>340</v>
      </c>
      <c r="B252" t="s">
        <v>350</v>
      </c>
      <c r="C252" s="23">
        <v>33.418368999999998</v>
      </c>
      <c r="D252" s="23">
        <v>59.814380999999997</v>
      </c>
    </row>
    <row r="253" spans="1:4" x14ac:dyDescent="0.3">
      <c r="A253" t="s">
        <v>340</v>
      </c>
      <c r="B253" t="s">
        <v>351</v>
      </c>
      <c r="C253" s="23">
        <v>33.910719</v>
      </c>
      <c r="D253" s="23">
        <v>58.931069000000001</v>
      </c>
    </row>
    <row r="254" spans="1:4" x14ac:dyDescent="0.3">
      <c r="A254" t="s">
        <v>340</v>
      </c>
      <c r="B254" t="s">
        <v>352</v>
      </c>
      <c r="C254" s="23">
        <v>32.701918999999997</v>
      </c>
      <c r="D254" s="23">
        <v>59.522869</v>
      </c>
    </row>
    <row r="255" spans="1:4" x14ac:dyDescent="0.3">
      <c r="A255" t="s">
        <v>340</v>
      </c>
      <c r="B255" t="s">
        <v>353</v>
      </c>
      <c r="C255" s="23">
        <v>32.862758999999997</v>
      </c>
      <c r="D255" s="23">
        <v>59.216442000000001</v>
      </c>
    </row>
    <row r="256" spans="1:4" x14ac:dyDescent="0.3">
      <c r="A256" t="s">
        <v>340</v>
      </c>
      <c r="B256" t="s">
        <v>348</v>
      </c>
      <c r="C256" s="23">
        <v>28.357769000000001</v>
      </c>
      <c r="D256" s="23">
        <v>54.419480999999998</v>
      </c>
    </row>
    <row r="257" spans="1:4" x14ac:dyDescent="0.3">
      <c r="A257" t="s">
        <v>340</v>
      </c>
      <c r="B257" t="s">
        <v>348</v>
      </c>
      <c r="C257" s="24">
        <v>33.606589999999997</v>
      </c>
      <c r="D257" s="24">
        <v>59.989739999999998</v>
      </c>
    </row>
    <row r="258" spans="1:4" x14ac:dyDescent="0.3">
      <c r="A258" t="s">
        <v>340</v>
      </c>
      <c r="B258" t="s">
        <v>354</v>
      </c>
      <c r="C258" s="23">
        <v>31.540533</v>
      </c>
      <c r="D258" s="23">
        <v>60.037883000000001</v>
      </c>
    </row>
    <row r="259" spans="1:4" x14ac:dyDescent="0.3">
      <c r="A259" t="s">
        <v>340</v>
      </c>
      <c r="B259" t="s">
        <v>355</v>
      </c>
      <c r="C259" s="24">
        <v>34.04204</v>
      </c>
      <c r="D259" s="24">
        <v>58.218809999999998</v>
      </c>
    </row>
    <row r="260" spans="1:4" x14ac:dyDescent="0.3">
      <c r="A260" t="s">
        <v>340</v>
      </c>
      <c r="B260" t="s">
        <v>356</v>
      </c>
      <c r="C260" s="23">
        <v>32.916344000000002</v>
      </c>
      <c r="D260" s="23">
        <v>60.020764</v>
      </c>
    </row>
    <row r="261" spans="1:4" x14ac:dyDescent="0.3">
      <c r="A261" t="s">
        <v>340</v>
      </c>
      <c r="B261" t="s">
        <v>357</v>
      </c>
      <c r="C261" s="24">
        <v>33.868569999999998</v>
      </c>
      <c r="D261" s="24">
        <v>57.430410000000002</v>
      </c>
    </row>
    <row r="262" spans="1:4" x14ac:dyDescent="0.3">
      <c r="A262" t="s">
        <v>340</v>
      </c>
      <c r="B262" t="s">
        <v>358</v>
      </c>
      <c r="C262" s="23">
        <v>33.665861</v>
      </c>
      <c r="D262" s="23">
        <v>58.396808</v>
      </c>
    </row>
    <row r="263" spans="1:4" x14ac:dyDescent="0.3">
      <c r="A263" t="s">
        <v>340</v>
      </c>
      <c r="B263" t="s">
        <v>359</v>
      </c>
      <c r="C263" s="23">
        <v>34.022818999999998</v>
      </c>
      <c r="D263" s="23">
        <v>58.812711</v>
      </c>
    </row>
    <row r="264" spans="1:4" x14ac:dyDescent="0.3">
      <c r="A264" t="s">
        <v>340</v>
      </c>
      <c r="B264" t="s">
        <v>360</v>
      </c>
      <c r="C264" s="24">
        <v>33.736719999999998</v>
      </c>
      <c r="D264" s="24">
        <v>59.18291</v>
      </c>
    </row>
    <row r="265" spans="1:4" x14ac:dyDescent="0.3">
      <c r="A265" t="s">
        <v>361</v>
      </c>
      <c r="B265" t="s">
        <v>362</v>
      </c>
      <c r="C265" s="24">
        <v>34.362349999999999</v>
      </c>
      <c r="D265" s="24">
        <v>58.679789999999997</v>
      </c>
    </row>
    <row r="266" spans="1:4" x14ac:dyDescent="0.3">
      <c r="A266" t="s">
        <v>361</v>
      </c>
      <c r="B266" t="s">
        <v>363</v>
      </c>
      <c r="C266" s="23">
        <v>36.817988999999997</v>
      </c>
      <c r="D266" s="23">
        <v>58.503633000000001</v>
      </c>
    </row>
    <row r="267" spans="1:4" x14ac:dyDescent="0.3">
      <c r="A267" t="s">
        <v>361</v>
      </c>
      <c r="B267" t="s">
        <v>364</v>
      </c>
      <c r="C267" s="23">
        <v>35.964410999999998</v>
      </c>
      <c r="D267" s="23">
        <v>57.768768999999999</v>
      </c>
    </row>
    <row r="268" spans="1:4" x14ac:dyDescent="0.3">
      <c r="A268" t="s">
        <v>361</v>
      </c>
      <c r="B268" t="s">
        <v>365</v>
      </c>
      <c r="C268" s="23">
        <v>37.352088999999999</v>
      </c>
      <c r="D268" s="23">
        <v>59.073988999999997</v>
      </c>
    </row>
    <row r="269" spans="1:4" x14ac:dyDescent="0.3">
      <c r="A269" t="s">
        <v>361</v>
      </c>
      <c r="B269" t="s">
        <v>366</v>
      </c>
      <c r="C269" s="23">
        <v>36.208630999999997</v>
      </c>
      <c r="D269" s="24">
        <v>57.675049999999999</v>
      </c>
    </row>
    <row r="270" spans="1:4" x14ac:dyDescent="0.3">
      <c r="A270" t="s">
        <v>361</v>
      </c>
      <c r="B270" t="s">
        <v>367</v>
      </c>
      <c r="C270" s="23">
        <v>34.430861</v>
      </c>
      <c r="D270" s="23">
        <v>60.169789000000002</v>
      </c>
    </row>
    <row r="271" spans="1:4" x14ac:dyDescent="0.3">
      <c r="A271" t="s">
        <v>361</v>
      </c>
      <c r="B271" t="s">
        <v>368</v>
      </c>
      <c r="C271" s="23">
        <v>37.514505999999997</v>
      </c>
      <c r="D271" s="23">
        <v>58.981444000000003</v>
      </c>
    </row>
    <row r="272" spans="1:4" x14ac:dyDescent="0.3">
      <c r="A272" t="s">
        <v>361</v>
      </c>
      <c r="B272" t="s">
        <v>369</v>
      </c>
      <c r="C272" s="23">
        <v>35.242680999999997</v>
      </c>
      <c r="D272" s="23">
        <v>60.618369000000001</v>
      </c>
    </row>
    <row r="273" spans="1:4" x14ac:dyDescent="0.3">
      <c r="A273" t="s">
        <v>361</v>
      </c>
      <c r="B273" t="s">
        <v>370</v>
      </c>
      <c r="C273" s="23">
        <v>36.535169000000003</v>
      </c>
      <c r="D273" s="23">
        <v>61.162011</v>
      </c>
    </row>
    <row r="274" spans="1:4" x14ac:dyDescent="0.3">
      <c r="A274" t="s">
        <v>361</v>
      </c>
      <c r="B274" t="s">
        <v>371</v>
      </c>
      <c r="C274" s="23">
        <v>36.315161000000003</v>
      </c>
      <c r="D274" s="23">
        <v>59.376339000000002</v>
      </c>
    </row>
    <row r="275" spans="1:4" x14ac:dyDescent="0.3">
      <c r="A275" t="s">
        <v>361</v>
      </c>
      <c r="B275" t="s">
        <v>372</v>
      </c>
      <c r="C275" s="23">
        <v>35.703780999999999</v>
      </c>
      <c r="D275" s="23">
        <v>59.846080999999998</v>
      </c>
    </row>
    <row r="276" spans="1:4" x14ac:dyDescent="0.3">
      <c r="A276" t="s">
        <v>361</v>
      </c>
      <c r="B276" t="s">
        <v>373</v>
      </c>
      <c r="C276" s="23">
        <v>34.988711000000002</v>
      </c>
      <c r="D276" s="23">
        <v>60.318119000000003</v>
      </c>
    </row>
    <row r="277" spans="1:4" x14ac:dyDescent="0.3">
      <c r="A277" t="s">
        <v>361</v>
      </c>
      <c r="B277" t="s">
        <v>374</v>
      </c>
      <c r="C277" s="23">
        <v>36.113117000000003</v>
      </c>
      <c r="D277" s="23">
        <v>59.039121999999999</v>
      </c>
    </row>
    <row r="278" spans="1:4" x14ac:dyDescent="0.3">
      <c r="A278" t="s">
        <v>361</v>
      </c>
      <c r="B278" t="s">
        <v>375</v>
      </c>
      <c r="C278" s="23">
        <v>37.108238999999998</v>
      </c>
      <c r="D278" s="24">
        <v>58.507150000000003</v>
      </c>
    </row>
    <row r="279" spans="1:4" x14ac:dyDescent="0.3">
      <c r="A279" t="s">
        <v>361</v>
      </c>
      <c r="B279" t="s">
        <v>376</v>
      </c>
      <c r="C279" s="23">
        <v>36.143472000000003</v>
      </c>
      <c r="D279" s="23">
        <v>59.016525000000001</v>
      </c>
    </row>
    <row r="280" spans="1:4" x14ac:dyDescent="0.3">
      <c r="A280" t="s">
        <v>361</v>
      </c>
      <c r="B280" t="s">
        <v>377</v>
      </c>
      <c r="C280" s="23">
        <v>35.273389000000002</v>
      </c>
      <c r="D280" s="23">
        <v>59.216588999999999</v>
      </c>
    </row>
    <row r="281" spans="1:4" x14ac:dyDescent="0.3">
      <c r="A281" t="s">
        <v>361</v>
      </c>
      <c r="B281" t="s">
        <v>378</v>
      </c>
      <c r="C281" s="23">
        <v>34.793627999999998</v>
      </c>
      <c r="D281" s="23">
        <v>60.503925000000002</v>
      </c>
    </row>
    <row r="282" spans="1:4" x14ac:dyDescent="0.3">
      <c r="A282" t="s">
        <v>361</v>
      </c>
      <c r="B282" t="s">
        <v>379</v>
      </c>
      <c r="C282" s="23">
        <v>35.021180999999999</v>
      </c>
      <c r="D282" s="23">
        <v>58.779060999999999</v>
      </c>
    </row>
    <row r="283" spans="1:4" x14ac:dyDescent="0.3">
      <c r="A283" t="s">
        <v>361</v>
      </c>
      <c r="B283" t="s">
        <v>380</v>
      </c>
      <c r="C283" s="23">
        <v>35.258414000000002</v>
      </c>
      <c r="D283" s="23">
        <v>57.968291999999998</v>
      </c>
    </row>
    <row r="284" spans="1:4" x14ac:dyDescent="0.3">
      <c r="A284" t="s">
        <v>361</v>
      </c>
      <c r="B284" t="s">
        <v>381</v>
      </c>
      <c r="C284" s="23">
        <v>34.703161000000001</v>
      </c>
      <c r="D284" s="23">
        <v>59.215330999999999</v>
      </c>
    </row>
    <row r="285" spans="1:4" x14ac:dyDescent="0.3">
      <c r="A285" t="s">
        <v>361</v>
      </c>
      <c r="B285" t="s">
        <v>382</v>
      </c>
      <c r="C285" s="23">
        <v>36.986981</v>
      </c>
      <c r="D285" s="23">
        <v>59.798774999999999</v>
      </c>
    </row>
    <row r="286" spans="1:4" x14ac:dyDescent="0.3">
      <c r="A286" t="s">
        <v>361</v>
      </c>
      <c r="B286" t="s">
        <v>383</v>
      </c>
      <c r="C286" s="24">
        <v>34.516640000000002</v>
      </c>
      <c r="D286" s="24">
        <v>58.185169999999999</v>
      </c>
    </row>
    <row r="287" spans="1:4" x14ac:dyDescent="0.3">
      <c r="A287" t="s">
        <v>361</v>
      </c>
      <c r="B287" t="s">
        <v>384</v>
      </c>
      <c r="C287" s="25">
        <v>35.766500000000001</v>
      </c>
      <c r="D287" s="23">
        <v>59.733111000000001</v>
      </c>
    </row>
    <row r="288" spans="1:4" x14ac:dyDescent="0.3">
      <c r="A288" t="s">
        <v>361</v>
      </c>
      <c r="B288" t="s">
        <v>385</v>
      </c>
      <c r="C288" s="24">
        <v>36.205350000000003</v>
      </c>
      <c r="D288" s="24">
        <v>58.80095</v>
      </c>
    </row>
    <row r="289" spans="1:4" x14ac:dyDescent="0.3">
      <c r="A289" t="s">
        <v>361</v>
      </c>
      <c r="B289" t="s">
        <v>386</v>
      </c>
      <c r="C289" s="23">
        <v>37.614969000000002</v>
      </c>
      <c r="D289" s="23">
        <v>58.429789</v>
      </c>
    </row>
    <row r="290" spans="1:4" x14ac:dyDescent="0.3">
      <c r="A290" t="s">
        <v>361</v>
      </c>
      <c r="B290" t="s">
        <v>387</v>
      </c>
      <c r="C290" s="23">
        <v>34.360230999999999</v>
      </c>
      <c r="D290" s="25">
        <v>59.864400000000003</v>
      </c>
    </row>
    <row r="291" spans="1:4" x14ac:dyDescent="0.3">
      <c r="A291" t="s">
        <v>361</v>
      </c>
      <c r="B291" t="s">
        <v>388</v>
      </c>
      <c r="C291" s="23">
        <v>36.711118999999997</v>
      </c>
      <c r="D291" s="25">
        <v>57.418300000000002</v>
      </c>
    </row>
    <row r="292" spans="1:4" x14ac:dyDescent="0.3">
      <c r="A292" t="s">
        <v>361</v>
      </c>
      <c r="B292" t="s">
        <v>389</v>
      </c>
      <c r="C292" s="23">
        <v>35.235739000000002</v>
      </c>
      <c r="D292" s="23">
        <v>58.458381000000003</v>
      </c>
    </row>
    <row r="293" spans="1:4" x14ac:dyDescent="0.3">
      <c r="A293" t="s">
        <v>361</v>
      </c>
      <c r="B293" t="s">
        <v>390</v>
      </c>
      <c r="C293" s="23">
        <v>35.999510999999998</v>
      </c>
      <c r="D293" s="23">
        <v>59.591039000000002</v>
      </c>
    </row>
    <row r="294" spans="1:4" x14ac:dyDescent="0.3">
      <c r="A294" t="s">
        <v>361</v>
      </c>
      <c r="B294" t="s">
        <v>391</v>
      </c>
      <c r="C294" s="23">
        <v>35.136944</v>
      </c>
      <c r="D294" s="23">
        <v>60.767586000000001</v>
      </c>
    </row>
    <row r="295" spans="1:4" x14ac:dyDescent="0.3">
      <c r="A295" t="s">
        <v>361</v>
      </c>
      <c r="B295" t="s">
        <v>392</v>
      </c>
      <c r="C295" s="23">
        <v>37.518261000000003</v>
      </c>
      <c r="D295" s="23">
        <v>59.340210999999996</v>
      </c>
    </row>
    <row r="296" spans="1:4" x14ac:dyDescent="0.3">
      <c r="A296" t="s">
        <v>361</v>
      </c>
      <c r="B296" t="s">
        <v>393</v>
      </c>
      <c r="C296" s="24">
        <v>36.286909999999999</v>
      </c>
      <c r="D296" s="24">
        <v>59.54392</v>
      </c>
    </row>
    <row r="297" spans="1:4" x14ac:dyDescent="0.3">
      <c r="A297" t="s">
        <v>361</v>
      </c>
      <c r="B297" t="s">
        <v>394</v>
      </c>
      <c r="C297" s="23">
        <v>36.283611000000001</v>
      </c>
      <c r="D297" s="23">
        <v>58.586108000000003</v>
      </c>
    </row>
    <row r="298" spans="1:4" x14ac:dyDescent="0.3">
      <c r="A298" t="s">
        <v>361</v>
      </c>
      <c r="B298" t="s">
        <v>395</v>
      </c>
      <c r="C298" s="23">
        <v>35.475074999999997</v>
      </c>
      <c r="D298" s="23">
        <v>58.458472</v>
      </c>
    </row>
    <row r="299" spans="1:4" x14ac:dyDescent="0.3">
      <c r="A299" t="s">
        <v>361</v>
      </c>
      <c r="B299" t="s">
        <v>396</v>
      </c>
      <c r="C299" s="23">
        <v>35.250731000000002</v>
      </c>
      <c r="D299" s="23">
        <v>58.287908000000002</v>
      </c>
    </row>
    <row r="300" spans="1:4" x14ac:dyDescent="0.3">
      <c r="A300" t="s">
        <v>361</v>
      </c>
      <c r="B300" t="s">
        <v>397</v>
      </c>
      <c r="C300" s="23">
        <v>35.643310999999997</v>
      </c>
      <c r="D300" s="23">
        <v>60.087181000000001</v>
      </c>
    </row>
    <row r="301" spans="1:4" x14ac:dyDescent="0.3">
      <c r="A301" t="s">
        <v>361</v>
      </c>
      <c r="B301" t="s">
        <v>398</v>
      </c>
      <c r="C301" s="23">
        <v>34.803769000000003</v>
      </c>
      <c r="D301" s="25">
        <v>58.442300000000003</v>
      </c>
    </row>
    <row r="302" spans="1:4" x14ac:dyDescent="0.3">
      <c r="A302" t="s">
        <v>361</v>
      </c>
      <c r="B302" t="s">
        <v>399</v>
      </c>
      <c r="C302" s="23">
        <v>34.739547000000002</v>
      </c>
      <c r="D302" s="23">
        <v>60.777731000000003</v>
      </c>
    </row>
    <row r="303" spans="1:4" x14ac:dyDescent="0.3">
      <c r="A303" t="s">
        <v>361</v>
      </c>
      <c r="B303" t="s">
        <v>400</v>
      </c>
      <c r="C303" s="24">
        <v>34.149650000000001</v>
      </c>
      <c r="D303" s="24">
        <v>58.638910000000003</v>
      </c>
    </row>
    <row r="304" spans="1:4" x14ac:dyDescent="0.3">
      <c r="A304" t="s">
        <v>361</v>
      </c>
      <c r="B304" t="s">
        <v>401</v>
      </c>
      <c r="C304" s="23">
        <v>36.648069</v>
      </c>
      <c r="D304" s="23">
        <v>59.125061000000002</v>
      </c>
    </row>
    <row r="305" spans="1:4" x14ac:dyDescent="0.3">
      <c r="A305" t="s">
        <v>361</v>
      </c>
      <c r="B305" t="s">
        <v>402</v>
      </c>
      <c r="C305" s="23">
        <v>36.133330999999998</v>
      </c>
      <c r="D305" s="23">
        <v>59.116661000000001</v>
      </c>
    </row>
    <row r="306" spans="1:4" x14ac:dyDescent="0.3">
      <c r="A306" t="s">
        <v>361</v>
      </c>
      <c r="B306" t="s">
        <v>403</v>
      </c>
      <c r="C306" s="23">
        <v>36.205958000000003</v>
      </c>
      <c r="D306" s="23">
        <v>59.769792000000002</v>
      </c>
    </row>
    <row r="307" spans="1:4" x14ac:dyDescent="0.3">
      <c r="A307" t="s">
        <v>361</v>
      </c>
      <c r="B307" t="s">
        <v>404</v>
      </c>
      <c r="C307" s="23">
        <v>36.155669000000003</v>
      </c>
      <c r="D307" s="23">
        <v>60.528424999999999</v>
      </c>
    </row>
    <row r="308" spans="1:4" x14ac:dyDescent="0.3">
      <c r="A308" t="s">
        <v>361</v>
      </c>
      <c r="B308" t="s">
        <v>405</v>
      </c>
      <c r="C308" s="23">
        <v>37.445830999999998</v>
      </c>
      <c r="D308" s="23">
        <v>59.111060999999999</v>
      </c>
    </row>
    <row r="309" spans="1:4" x14ac:dyDescent="0.3">
      <c r="A309" t="s">
        <v>361</v>
      </c>
      <c r="B309" t="s">
        <v>406</v>
      </c>
      <c r="C309" s="24">
        <v>36.394350000000003</v>
      </c>
      <c r="D309" s="23">
        <v>59.290160999999998</v>
      </c>
    </row>
    <row r="310" spans="1:4" x14ac:dyDescent="0.3">
      <c r="A310" t="s">
        <v>361</v>
      </c>
      <c r="B310" t="s">
        <v>407</v>
      </c>
      <c r="C310" s="23">
        <v>35.205142000000002</v>
      </c>
      <c r="D310" s="23">
        <v>58.151394000000003</v>
      </c>
    </row>
    <row r="311" spans="1:4" x14ac:dyDescent="0.3">
      <c r="A311" t="s">
        <v>361</v>
      </c>
      <c r="B311" t="s">
        <v>408</v>
      </c>
      <c r="C311" s="23">
        <v>35.599255999999997</v>
      </c>
      <c r="D311" s="23">
        <v>59.950896999999998</v>
      </c>
    </row>
    <row r="312" spans="1:4" x14ac:dyDescent="0.3">
      <c r="A312" t="s">
        <v>361</v>
      </c>
      <c r="B312" t="s">
        <v>409</v>
      </c>
      <c r="C312" s="23">
        <v>36.749167</v>
      </c>
      <c r="D312" s="23">
        <v>59.937503</v>
      </c>
    </row>
    <row r="313" spans="1:4" x14ac:dyDescent="0.3">
      <c r="A313" t="s">
        <v>361</v>
      </c>
      <c r="B313" t="s">
        <v>410</v>
      </c>
      <c r="C313" s="23">
        <v>36.018439000000001</v>
      </c>
      <c r="D313" s="23">
        <v>57.308143999999999</v>
      </c>
    </row>
    <row r="314" spans="1:4" x14ac:dyDescent="0.3">
      <c r="A314" t="s">
        <v>361</v>
      </c>
      <c r="B314" t="s">
        <v>411</v>
      </c>
      <c r="C314" s="23">
        <v>34.401564</v>
      </c>
      <c r="D314" s="23">
        <v>60.257806000000002</v>
      </c>
    </row>
    <row r="315" spans="1:4" x14ac:dyDescent="0.3">
      <c r="A315" t="s">
        <v>361</v>
      </c>
      <c r="B315" t="s">
        <v>412</v>
      </c>
      <c r="C315" s="23">
        <v>36.404783000000002</v>
      </c>
      <c r="D315" s="23">
        <v>58.038288999999999</v>
      </c>
    </row>
    <row r="316" spans="1:4" x14ac:dyDescent="0.3">
      <c r="A316" t="s">
        <v>361</v>
      </c>
      <c r="B316" t="s">
        <v>413</v>
      </c>
      <c r="C316" s="23">
        <v>36.345388999999997</v>
      </c>
      <c r="D316" s="25">
        <v>56.8767</v>
      </c>
    </row>
    <row r="317" spans="1:4" x14ac:dyDescent="0.3">
      <c r="A317" t="s">
        <v>361</v>
      </c>
      <c r="B317" t="s">
        <v>414</v>
      </c>
      <c r="C317" s="25">
        <v>35.494199999999999</v>
      </c>
      <c r="D317" s="25">
        <v>60.174500000000002</v>
      </c>
    </row>
    <row r="318" spans="1:4" x14ac:dyDescent="0.3">
      <c r="A318" t="s">
        <v>361</v>
      </c>
      <c r="B318" t="s">
        <v>415</v>
      </c>
      <c r="C318" s="23">
        <v>34.570180999999998</v>
      </c>
      <c r="D318" s="23">
        <v>60.137630999999999</v>
      </c>
    </row>
    <row r="319" spans="1:4" x14ac:dyDescent="0.3">
      <c r="A319" t="s">
        <v>361</v>
      </c>
      <c r="B319" t="s">
        <v>416</v>
      </c>
      <c r="C319" s="23">
        <v>34.748730999999999</v>
      </c>
      <c r="D319" s="25">
        <v>59.972299999999997</v>
      </c>
    </row>
    <row r="320" spans="1:4" x14ac:dyDescent="0.3">
      <c r="A320" t="s">
        <v>361</v>
      </c>
      <c r="B320" t="s">
        <v>417</v>
      </c>
      <c r="C320" s="23">
        <v>36.630681000000003</v>
      </c>
      <c r="D320" s="23">
        <v>57.061689000000001</v>
      </c>
    </row>
    <row r="321" spans="1:4" x14ac:dyDescent="0.3">
      <c r="A321" t="s">
        <v>361</v>
      </c>
      <c r="B321" t="s">
        <v>418</v>
      </c>
      <c r="C321" s="24">
        <v>34.339570000000002</v>
      </c>
      <c r="D321" s="24">
        <v>58.757890000000003</v>
      </c>
    </row>
    <row r="322" spans="1:4" x14ac:dyDescent="0.3">
      <c r="A322" t="s">
        <v>361</v>
      </c>
      <c r="B322" t="s">
        <v>419</v>
      </c>
      <c r="C322" s="24">
        <v>34.96996</v>
      </c>
      <c r="D322" s="24">
        <v>59.628660000000004</v>
      </c>
    </row>
    <row r="323" spans="1:4" x14ac:dyDescent="0.3">
      <c r="A323" t="s">
        <v>361</v>
      </c>
      <c r="B323" t="s">
        <v>420</v>
      </c>
      <c r="C323" s="23">
        <v>35.586213999999998</v>
      </c>
      <c r="D323" s="23">
        <v>58.877671999999997</v>
      </c>
    </row>
    <row r="324" spans="1:4" x14ac:dyDescent="0.3">
      <c r="A324" t="s">
        <v>421</v>
      </c>
      <c r="B324" t="s">
        <v>422</v>
      </c>
      <c r="C324" s="23">
        <v>37.346992</v>
      </c>
      <c r="D324" s="23">
        <v>56.894835999999998</v>
      </c>
    </row>
    <row r="325" spans="1:4" x14ac:dyDescent="0.3">
      <c r="A325" t="s">
        <v>421</v>
      </c>
      <c r="B325" t="s">
        <v>423</v>
      </c>
      <c r="C325" s="23">
        <v>37.604619</v>
      </c>
      <c r="D325" s="23">
        <v>57.857824999999998</v>
      </c>
    </row>
    <row r="326" spans="1:4" x14ac:dyDescent="0.3">
      <c r="A326" t="s">
        <v>421</v>
      </c>
      <c r="B326" t="s">
        <v>424</v>
      </c>
      <c r="C326" s="23">
        <v>36.950007999999997</v>
      </c>
      <c r="D326" s="23">
        <v>56.379303</v>
      </c>
    </row>
    <row r="327" spans="1:4" x14ac:dyDescent="0.3">
      <c r="A327" t="s">
        <v>421</v>
      </c>
      <c r="B327" t="s">
        <v>425</v>
      </c>
      <c r="C327" s="23">
        <v>37.494835999999999</v>
      </c>
      <c r="D327" s="24">
        <v>56.747950000000003</v>
      </c>
    </row>
    <row r="328" spans="1:4" x14ac:dyDescent="0.3">
      <c r="A328" t="s">
        <v>421</v>
      </c>
      <c r="B328" t="s">
        <v>426</v>
      </c>
      <c r="C328" s="23">
        <v>37.516019</v>
      </c>
      <c r="D328" s="23">
        <v>57.485314000000002</v>
      </c>
    </row>
    <row r="329" spans="1:4" x14ac:dyDescent="0.3">
      <c r="A329" t="s">
        <v>421</v>
      </c>
      <c r="B329" t="s">
        <v>427</v>
      </c>
      <c r="C329" s="23">
        <v>37.071368999999997</v>
      </c>
      <c r="D329" s="23">
        <v>57.506355999999997</v>
      </c>
    </row>
    <row r="330" spans="1:4" x14ac:dyDescent="0.3">
      <c r="A330" t="s">
        <v>421</v>
      </c>
      <c r="B330" t="s">
        <v>428</v>
      </c>
      <c r="C330" s="23">
        <v>37.393825</v>
      </c>
      <c r="D330" s="23">
        <v>57.934303</v>
      </c>
    </row>
    <row r="331" spans="1:4" x14ac:dyDescent="0.3">
      <c r="A331" t="s">
        <v>421</v>
      </c>
      <c r="B331" t="s">
        <v>429</v>
      </c>
      <c r="C331" s="23">
        <v>37.230924999999999</v>
      </c>
      <c r="D331" s="23">
        <v>58.217905999999999</v>
      </c>
    </row>
    <row r="332" spans="1:4" x14ac:dyDescent="0.3">
      <c r="A332" t="s">
        <v>421</v>
      </c>
      <c r="B332" t="s">
        <v>430</v>
      </c>
      <c r="C332" s="23">
        <v>37.099618999999997</v>
      </c>
      <c r="D332" s="23">
        <v>56.849435999999997</v>
      </c>
    </row>
    <row r="333" spans="1:4" x14ac:dyDescent="0.3">
      <c r="A333" t="s">
        <v>421</v>
      </c>
      <c r="B333" t="s">
        <v>431</v>
      </c>
      <c r="C333" s="24">
        <v>37.472029999999997</v>
      </c>
      <c r="D333" s="24">
        <v>57.33173</v>
      </c>
    </row>
    <row r="334" spans="1:4" x14ac:dyDescent="0.3">
      <c r="A334" t="s">
        <v>421</v>
      </c>
      <c r="B334" t="s">
        <v>432</v>
      </c>
      <c r="C334" s="23">
        <v>37.650441999999998</v>
      </c>
      <c r="D334" s="23">
        <v>57.001553000000001</v>
      </c>
    </row>
    <row r="335" spans="1:4" x14ac:dyDescent="0.3">
      <c r="A335" t="s">
        <v>421</v>
      </c>
      <c r="B335" t="s">
        <v>433</v>
      </c>
      <c r="C335" s="23">
        <v>36.981574999999999</v>
      </c>
      <c r="D335" s="23">
        <v>56.218882999999998</v>
      </c>
    </row>
    <row r="336" spans="1:4" x14ac:dyDescent="0.3">
      <c r="A336" t="s">
        <v>421</v>
      </c>
      <c r="B336" t="s">
        <v>434</v>
      </c>
      <c r="C336" s="23">
        <v>37.933725000000003</v>
      </c>
      <c r="D336" s="23">
        <v>57.111342</v>
      </c>
    </row>
    <row r="337" spans="1:4" x14ac:dyDescent="0.3">
      <c r="A337" t="s">
        <v>421</v>
      </c>
      <c r="B337" t="s">
        <v>435</v>
      </c>
      <c r="C337" s="23">
        <v>37.561374999999998</v>
      </c>
      <c r="D337" s="23">
        <v>56.923003000000001</v>
      </c>
    </row>
    <row r="338" spans="1:4" x14ac:dyDescent="0.3">
      <c r="A338" t="s">
        <v>421</v>
      </c>
      <c r="B338" t="s">
        <v>436</v>
      </c>
      <c r="C338" s="23">
        <v>32.265169</v>
      </c>
      <c r="D338" s="24">
        <v>48.418050000000001</v>
      </c>
    </row>
    <row r="339" spans="1:4" x14ac:dyDescent="0.3">
      <c r="A339" t="s">
        <v>421</v>
      </c>
      <c r="B339" t="s">
        <v>436</v>
      </c>
      <c r="C339" s="23">
        <v>36.695571999999999</v>
      </c>
      <c r="D339" s="23">
        <v>57.929797000000001</v>
      </c>
    </row>
    <row r="340" spans="1:4" x14ac:dyDescent="0.3">
      <c r="A340" t="s">
        <v>437</v>
      </c>
      <c r="B340" t="s">
        <v>438</v>
      </c>
      <c r="C340" s="23">
        <v>30.354227999999999</v>
      </c>
      <c r="D340" s="23">
        <v>48.272817000000003</v>
      </c>
    </row>
    <row r="341" spans="1:4" x14ac:dyDescent="0.3">
      <c r="A341" t="s">
        <v>437</v>
      </c>
      <c r="B341" t="s">
        <v>439</v>
      </c>
      <c r="C341" s="23">
        <v>30.433171999999999</v>
      </c>
      <c r="D341" s="23">
        <v>49.077466999999999</v>
      </c>
    </row>
    <row r="342" spans="1:4" x14ac:dyDescent="0.3">
      <c r="A342" t="s">
        <v>437</v>
      </c>
      <c r="B342" t="s">
        <v>440</v>
      </c>
      <c r="C342" s="23">
        <v>32.199638999999998</v>
      </c>
      <c r="D342" s="24">
        <v>48.247950000000003</v>
      </c>
    </row>
    <row r="343" spans="1:4" x14ac:dyDescent="0.3">
      <c r="A343" t="s">
        <v>437</v>
      </c>
      <c r="B343" t="s">
        <v>441</v>
      </c>
      <c r="C343" s="23">
        <v>30.440086000000001</v>
      </c>
      <c r="D343" s="23">
        <v>48.188544</v>
      </c>
    </row>
    <row r="344" spans="1:4" x14ac:dyDescent="0.3">
      <c r="A344" t="s">
        <v>442</v>
      </c>
      <c r="B344" t="s">
        <v>443</v>
      </c>
      <c r="C344" s="23">
        <v>36.553730999999999</v>
      </c>
      <c r="D344" s="23">
        <v>47.623181000000002</v>
      </c>
    </row>
    <row r="345" spans="1:4" x14ac:dyDescent="0.3">
      <c r="A345" t="s">
        <v>442</v>
      </c>
      <c r="B345" t="s">
        <v>444</v>
      </c>
      <c r="C345" s="23">
        <v>36.296089000000002</v>
      </c>
      <c r="D345" s="23">
        <v>48.063268999999998</v>
      </c>
    </row>
    <row r="346" spans="1:4" x14ac:dyDescent="0.3">
      <c r="A346" t="s">
        <v>442</v>
      </c>
      <c r="B346" t="s">
        <v>445</v>
      </c>
      <c r="C346" s="26">
        <v>36.203000000000003</v>
      </c>
      <c r="D346" s="25">
        <v>49.188699999999997</v>
      </c>
    </row>
    <row r="347" spans="1:4" x14ac:dyDescent="0.3">
      <c r="A347" t="s">
        <v>442</v>
      </c>
      <c r="B347" t="s">
        <v>446</v>
      </c>
      <c r="C347" s="23">
        <v>36.235731000000001</v>
      </c>
      <c r="D347" s="23">
        <v>48.545918999999998</v>
      </c>
    </row>
    <row r="348" spans="1:4" x14ac:dyDescent="0.3">
      <c r="A348" t="s">
        <v>442</v>
      </c>
      <c r="B348" t="s">
        <v>447</v>
      </c>
      <c r="C348" s="25">
        <v>36.745199999999997</v>
      </c>
      <c r="D348" s="24">
        <v>47.669469999999997</v>
      </c>
    </row>
    <row r="349" spans="1:4" x14ac:dyDescent="0.3">
      <c r="A349" t="s">
        <v>442</v>
      </c>
      <c r="B349" t="s">
        <v>448</v>
      </c>
      <c r="C349" s="23">
        <v>36.670780999999998</v>
      </c>
      <c r="D349" s="23">
        <v>48.480938999999999</v>
      </c>
    </row>
    <row r="350" spans="1:4" x14ac:dyDescent="0.3">
      <c r="A350" t="s">
        <v>442</v>
      </c>
      <c r="B350" t="s">
        <v>449</v>
      </c>
      <c r="C350" s="23">
        <v>36.253317000000003</v>
      </c>
      <c r="D350" s="23">
        <v>49.130025000000003</v>
      </c>
    </row>
    <row r="351" spans="1:4" x14ac:dyDescent="0.3">
      <c r="A351" t="s">
        <v>442</v>
      </c>
      <c r="B351" t="s">
        <v>450</v>
      </c>
      <c r="C351" s="23">
        <v>35.848810999999998</v>
      </c>
      <c r="D351" s="23">
        <v>48.196810999999997</v>
      </c>
    </row>
    <row r="352" spans="1:4" x14ac:dyDescent="0.3">
      <c r="A352" t="s">
        <v>442</v>
      </c>
      <c r="B352" t="s">
        <v>451</v>
      </c>
      <c r="C352" s="23">
        <v>37.000802999999998</v>
      </c>
      <c r="D352" s="25">
        <v>48.774700000000003</v>
      </c>
    </row>
    <row r="353" spans="1:4" x14ac:dyDescent="0.3">
      <c r="A353" t="s">
        <v>442</v>
      </c>
      <c r="B353" t="s">
        <v>451</v>
      </c>
      <c r="C353" s="24">
        <v>36.997120000000002</v>
      </c>
      <c r="D353" s="24">
        <v>48.777589999999996</v>
      </c>
    </row>
    <row r="354" spans="1:4" x14ac:dyDescent="0.3">
      <c r="A354" t="s">
        <v>442</v>
      </c>
      <c r="B354" t="s">
        <v>452</v>
      </c>
      <c r="C354" s="25">
        <v>36.4255</v>
      </c>
      <c r="D354" s="23">
        <v>48.280475000000003</v>
      </c>
    </row>
    <row r="355" spans="1:4" x14ac:dyDescent="0.3">
      <c r="A355" t="s">
        <v>442</v>
      </c>
      <c r="B355" t="s">
        <v>453</v>
      </c>
      <c r="C355" s="23">
        <v>36.434368999999997</v>
      </c>
      <c r="D355" s="23">
        <v>48.797418999999998</v>
      </c>
    </row>
    <row r="356" spans="1:4" x14ac:dyDescent="0.3">
      <c r="A356" t="s">
        <v>442</v>
      </c>
      <c r="B356" t="s">
        <v>454</v>
      </c>
      <c r="C356" s="25">
        <v>35.757899999999999</v>
      </c>
      <c r="D356" s="25">
        <v>48.482199999999999</v>
      </c>
    </row>
    <row r="357" spans="1:4" x14ac:dyDescent="0.3">
      <c r="A357" t="s">
        <v>442</v>
      </c>
      <c r="B357" t="s">
        <v>455</v>
      </c>
      <c r="C357" s="23">
        <v>36.924005999999999</v>
      </c>
      <c r="D357" s="23">
        <v>48.962139000000001</v>
      </c>
    </row>
    <row r="358" spans="1:4" x14ac:dyDescent="0.3">
      <c r="A358" t="s">
        <v>442</v>
      </c>
      <c r="B358" t="s">
        <v>456</v>
      </c>
      <c r="C358" s="23">
        <v>36.116331000000002</v>
      </c>
      <c r="D358" s="23">
        <v>48.591689000000002</v>
      </c>
    </row>
    <row r="359" spans="1:4" x14ac:dyDescent="0.3">
      <c r="A359" t="s">
        <v>442</v>
      </c>
      <c r="B359" t="s">
        <v>457</v>
      </c>
      <c r="C359" s="23">
        <v>36.144731</v>
      </c>
      <c r="D359" s="23">
        <v>49.219268999999997</v>
      </c>
    </row>
    <row r="360" spans="1:4" x14ac:dyDescent="0.3">
      <c r="A360" t="s">
        <v>442</v>
      </c>
      <c r="B360" t="s">
        <v>458</v>
      </c>
      <c r="C360" s="23">
        <v>36.302667</v>
      </c>
      <c r="D360" s="23">
        <v>49.073464000000001</v>
      </c>
    </row>
    <row r="361" spans="1:4" x14ac:dyDescent="0.3">
      <c r="A361" t="s">
        <v>459</v>
      </c>
      <c r="B361" t="s">
        <v>460</v>
      </c>
      <c r="C361" s="23">
        <v>35.345047000000001</v>
      </c>
      <c r="D361" s="23">
        <v>52.070261000000002</v>
      </c>
    </row>
    <row r="362" spans="1:4" x14ac:dyDescent="0.3">
      <c r="A362" t="s">
        <v>459</v>
      </c>
      <c r="B362" t="s">
        <v>461</v>
      </c>
      <c r="C362" s="23">
        <v>35.221592000000001</v>
      </c>
      <c r="D362" s="23">
        <v>52.340547000000001</v>
      </c>
    </row>
    <row r="363" spans="1:4" x14ac:dyDescent="0.3">
      <c r="A363" t="s">
        <v>459</v>
      </c>
      <c r="B363" t="s">
        <v>462</v>
      </c>
      <c r="C363" s="24">
        <v>35.575020000000002</v>
      </c>
      <c r="D363" s="23">
        <v>53.390213000000003</v>
      </c>
    </row>
    <row r="364" spans="1:4" x14ac:dyDescent="0.3">
      <c r="A364" t="s">
        <v>459</v>
      </c>
      <c r="B364" t="s">
        <v>463</v>
      </c>
      <c r="C364" s="24">
        <v>36.026850000000003</v>
      </c>
      <c r="D364" s="23">
        <v>54.140574999999998</v>
      </c>
    </row>
    <row r="365" spans="1:4" x14ac:dyDescent="0.3">
      <c r="A365" t="s">
        <v>459</v>
      </c>
      <c r="B365" t="s">
        <v>464</v>
      </c>
      <c r="C365" s="23">
        <v>35.463957999999998</v>
      </c>
      <c r="D365" s="23">
        <v>53.213583</v>
      </c>
    </row>
    <row r="366" spans="1:4" x14ac:dyDescent="0.3">
      <c r="A366" t="s">
        <v>459</v>
      </c>
      <c r="B366" t="s">
        <v>465</v>
      </c>
      <c r="C366" s="23">
        <v>36.079343999999999</v>
      </c>
      <c r="D366" s="23">
        <v>55.810096999999999</v>
      </c>
    </row>
    <row r="367" spans="1:4" x14ac:dyDescent="0.3">
      <c r="A367" t="s">
        <v>459</v>
      </c>
      <c r="B367" t="s">
        <v>466</v>
      </c>
      <c r="C367" s="23">
        <v>36.479083000000003</v>
      </c>
      <c r="D367" s="23">
        <v>54.648235999999997</v>
      </c>
    </row>
    <row r="368" spans="1:4" x14ac:dyDescent="0.3">
      <c r="A368" t="s">
        <v>459</v>
      </c>
      <c r="B368" t="s">
        <v>467</v>
      </c>
      <c r="C368" s="23">
        <v>36.419839000000003</v>
      </c>
      <c r="D368" s="25">
        <v>54.967700000000001</v>
      </c>
    </row>
    <row r="369" spans="1:4" x14ac:dyDescent="0.3">
      <c r="A369" t="s">
        <v>459</v>
      </c>
      <c r="B369" t="s">
        <v>468</v>
      </c>
      <c r="C369" s="23">
        <v>36.484935999999998</v>
      </c>
      <c r="D369" s="23">
        <v>55.000269000000003</v>
      </c>
    </row>
    <row r="370" spans="1:4" x14ac:dyDescent="0.3">
      <c r="A370" t="s">
        <v>459</v>
      </c>
      <c r="B370" t="s">
        <v>469</v>
      </c>
      <c r="C370" s="23">
        <v>36.428035999999999</v>
      </c>
      <c r="D370" s="23">
        <v>54.232111000000003</v>
      </c>
    </row>
    <row r="371" spans="1:4" x14ac:dyDescent="0.3">
      <c r="A371" t="s">
        <v>459</v>
      </c>
      <c r="B371" t="s">
        <v>470</v>
      </c>
      <c r="C371" s="23">
        <v>35.771439000000001</v>
      </c>
      <c r="D371" s="23">
        <v>53.328319</v>
      </c>
    </row>
    <row r="372" spans="1:4" x14ac:dyDescent="0.3">
      <c r="A372" t="s">
        <v>459</v>
      </c>
      <c r="B372" t="s">
        <v>471</v>
      </c>
      <c r="C372" s="23">
        <v>36.167107999999999</v>
      </c>
      <c r="D372" s="23">
        <v>54.340986000000001</v>
      </c>
    </row>
    <row r="373" spans="1:4" x14ac:dyDescent="0.3">
      <c r="A373" t="s">
        <v>459</v>
      </c>
      <c r="B373" t="s">
        <v>472</v>
      </c>
      <c r="C373" s="23">
        <v>36.411763999999998</v>
      </c>
      <c r="D373" s="23">
        <v>55.657958000000001</v>
      </c>
    </row>
    <row r="374" spans="1:4" x14ac:dyDescent="0.3">
      <c r="A374" t="s">
        <v>459</v>
      </c>
      <c r="B374" t="s">
        <v>473</v>
      </c>
      <c r="C374" s="23">
        <v>36.673672000000003</v>
      </c>
      <c r="D374" s="23">
        <v>55.296328000000003</v>
      </c>
    </row>
    <row r="375" spans="1:4" x14ac:dyDescent="0.3">
      <c r="A375" t="s">
        <v>459</v>
      </c>
      <c r="B375" t="s">
        <v>474</v>
      </c>
      <c r="C375" s="23">
        <v>35.247919000000003</v>
      </c>
      <c r="D375" s="23">
        <v>52.492856000000003</v>
      </c>
    </row>
    <row r="376" spans="1:4" x14ac:dyDescent="0.3">
      <c r="A376" t="s">
        <v>459</v>
      </c>
      <c r="B376" t="s">
        <v>475</v>
      </c>
      <c r="C376" s="23">
        <v>35.715414000000003</v>
      </c>
      <c r="D376" s="23">
        <v>53.356572</v>
      </c>
    </row>
    <row r="377" spans="1:4" x14ac:dyDescent="0.3">
      <c r="A377" t="s">
        <v>476</v>
      </c>
      <c r="B377" t="s">
        <v>477</v>
      </c>
      <c r="C377" s="23">
        <v>30.894166999999999</v>
      </c>
      <c r="D377" s="23">
        <v>61.680833</v>
      </c>
    </row>
    <row r="378" spans="1:4" x14ac:dyDescent="0.3">
      <c r="A378" t="s">
        <v>476</v>
      </c>
      <c r="B378" t="s">
        <v>478</v>
      </c>
      <c r="C378" s="24">
        <v>28.648050000000001</v>
      </c>
      <c r="D378" s="24">
        <v>59.022849999999998</v>
      </c>
    </row>
    <row r="379" spans="1:4" x14ac:dyDescent="0.3">
      <c r="A379" t="s">
        <v>476</v>
      </c>
      <c r="B379" t="s">
        <v>479</v>
      </c>
      <c r="C379" s="23">
        <v>27.206413999999999</v>
      </c>
      <c r="D379" s="23">
        <v>60.688082999999999</v>
      </c>
    </row>
    <row r="380" spans="1:4" x14ac:dyDescent="0.3">
      <c r="A380" t="s">
        <v>476</v>
      </c>
      <c r="B380" t="s">
        <v>480</v>
      </c>
      <c r="C380" s="23">
        <v>26.846993999999999</v>
      </c>
      <c r="D380" s="23">
        <v>60.171869000000001</v>
      </c>
    </row>
    <row r="381" spans="1:4" x14ac:dyDescent="0.3">
      <c r="A381" t="s">
        <v>476</v>
      </c>
      <c r="B381" t="s">
        <v>481</v>
      </c>
      <c r="C381" s="25">
        <v>26.236799999999999</v>
      </c>
      <c r="D381" s="23">
        <v>61.398724999999999</v>
      </c>
    </row>
    <row r="382" spans="1:4" x14ac:dyDescent="0.3">
      <c r="A382" t="s">
        <v>476</v>
      </c>
      <c r="B382" t="s">
        <v>482</v>
      </c>
      <c r="C382" s="23">
        <v>29.856421999999998</v>
      </c>
      <c r="D382" s="23">
        <v>59.978152999999999</v>
      </c>
    </row>
    <row r="383" spans="1:4" x14ac:dyDescent="0.3">
      <c r="A383" t="s">
        <v>476</v>
      </c>
      <c r="B383" t="s">
        <v>483</v>
      </c>
      <c r="C383" s="24">
        <v>29.499960000000002</v>
      </c>
      <c r="D383" s="24">
        <v>60.86795</v>
      </c>
    </row>
    <row r="384" spans="1:4" x14ac:dyDescent="0.3">
      <c r="A384" t="s">
        <v>476</v>
      </c>
      <c r="B384" t="s">
        <v>484</v>
      </c>
      <c r="C384" s="23">
        <v>27.602274999999999</v>
      </c>
      <c r="D384" s="23">
        <v>62.705658</v>
      </c>
    </row>
    <row r="385" spans="1:4" x14ac:dyDescent="0.3">
      <c r="A385" t="s">
        <v>476</v>
      </c>
      <c r="B385" t="s">
        <v>485</v>
      </c>
      <c r="C385" s="23">
        <v>26.637011000000001</v>
      </c>
      <c r="D385" s="24">
        <v>61.260950000000001</v>
      </c>
    </row>
    <row r="386" spans="1:4" x14ac:dyDescent="0.3">
      <c r="A386" t="s">
        <v>476</v>
      </c>
      <c r="B386" t="s">
        <v>486</v>
      </c>
      <c r="C386" s="23">
        <v>26.225128000000002</v>
      </c>
      <c r="D386" s="23">
        <v>60.217905999999999</v>
      </c>
    </row>
    <row r="387" spans="1:4" x14ac:dyDescent="0.3">
      <c r="A387" t="s">
        <v>476</v>
      </c>
      <c r="B387" t="s">
        <v>487</v>
      </c>
      <c r="C387" s="23">
        <v>31.030825</v>
      </c>
      <c r="D387" s="23">
        <v>61.495466999999998</v>
      </c>
    </row>
    <row r="388" spans="1:4" x14ac:dyDescent="0.3">
      <c r="A388" t="s">
        <v>476</v>
      </c>
      <c r="B388" t="s">
        <v>488</v>
      </c>
      <c r="C388" s="23">
        <v>27.482581</v>
      </c>
      <c r="D388" s="23">
        <v>59.446810999999997</v>
      </c>
    </row>
    <row r="389" spans="1:4" x14ac:dyDescent="0.3">
      <c r="A389" t="s">
        <v>476</v>
      </c>
      <c r="B389" t="s">
        <v>489</v>
      </c>
      <c r="C389" s="23">
        <v>25.358872000000002</v>
      </c>
      <c r="D389" s="23">
        <v>60.398553</v>
      </c>
    </row>
    <row r="390" spans="1:4" x14ac:dyDescent="0.3">
      <c r="A390" t="s">
        <v>476</v>
      </c>
      <c r="B390" t="s">
        <v>490</v>
      </c>
      <c r="C390" s="23">
        <v>27.366631000000002</v>
      </c>
      <c r="D390" s="25">
        <v>62.338700000000003</v>
      </c>
    </row>
    <row r="391" spans="1:4" x14ac:dyDescent="0.3">
      <c r="A391" t="s">
        <v>476</v>
      </c>
      <c r="B391" t="s">
        <v>478</v>
      </c>
      <c r="C391" s="23">
        <v>30.876117000000001</v>
      </c>
      <c r="D391" s="23">
        <v>61.453797000000002</v>
      </c>
    </row>
    <row r="392" spans="1:4" x14ac:dyDescent="0.3">
      <c r="A392" t="s">
        <v>476</v>
      </c>
      <c r="B392" t="s">
        <v>491</v>
      </c>
      <c r="C392" s="23">
        <v>26.246839000000001</v>
      </c>
      <c r="D392" s="23">
        <v>60.751631000000003</v>
      </c>
    </row>
    <row r="393" spans="1:4" x14ac:dyDescent="0.3">
      <c r="A393" t="s">
        <v>476</v>
      </c>
      <c r="B393" t="s">
        <v>492</v>
      </c>
      <c r="C393" s="23">
        <v>27.287711000000002</v>
      </c>
      <c r="D393" s="23">
        <v>62.000086000000003</v>
      </c>
    </row>
    <row r="394" spans="1:4" x14ac:dyDescent="0.3">
      <c r="A394" t="s">
        <v>476</v>
      </c>
      <c r="B394" t="s">
        <v>493</v>
      </c>
      <c r="C394" s="23">
        <v>31.143536000000001</v>
      </c>
      <c r="D394" s="23">
        <v>61.792968999999999</v>
      </c>
    </row>
    <row r="395" spans="1:4" x14ac:dyDescent="0.3">
      <c r="A395" t="s">
        <v>476</v>
      </c>
      <c r="B395" t="s">
        <v>494</v>
      </c>
      <c r="C395" s="23">
        <v>26.829678000000001</v>
      </c>
      <c r="D395" s="23">
        <v>62.639693999999999</v>
      </c>
    </row>
    <row r="396" spans="1:4" x14ac:dyDescent="0.3">
      <c r="A396" t="s">
        <v>476</v>
      </c>
      <c r="B396" t="s">
        <v>478</v>
      </c>
      <c r="C396" s="23">
        <v>32.324319000000003</v>
      </c>
      <c r="D396" s="23">
        <v>52.110919000000003</v>
      </c>
    </row>
    <row r="397" spans="1:4" x14ac:dyDescent="0.3">
      <c r="A397" t="s">
        <v>476</v>
      </c>
      <c r="B397" t="s">
        <v>495</v>
      </c>
      <c r="C397" s="25">
        <v>28.538599999999999</v>
      </c>
      <c r="D397" s="23">
        <v>60.758161000000001</v>
      </c>
    </row>
    <row r="398" spans="1:4" x14ac:dyDescent="0.3">
      <c r="A398" t="s">
        <v>476</v>
      </c>
      <c r="B398" t="s">
        <v>496</v>
      </c>
      <c r="C398" s="23">
        <v>29.019393999999998</v>
      </c>
      <c r="D398" s="23">
        <v>61.451642</v>
      </c>
    </row>
    <row r="399" spans="1:4" x14ac:dyDescent="0.3">
      <c r="A399" t="s">
        <v>476</v>
      </c>
      <c r="B399" t="s">
        <v>497</v>
      </c>
      <c r="C399" s="23">
        <v>28.220880999999999</v>
      </c>
      <c r="D399" s="23">
        <v>61.211539000000002</v>
      </c>
    </row>
    <row r="400" spans="1:4" x14ac:dyDescent="0.3">
      <c r="A400" t="s">
        <v>476</v>
      </c>
      <c r="B400" t="s">
        <v>498</v>
      </c>
      <c r="C400" s="24">
        <v>27.132650000000002</v>
      </c>
      <c r="D400" s="23">
        <v>61.671714000000001</v>
      </c>
    </row>
    <row r="401" spans="1:4" x14ac:dyDescent="0.3">
      <c r="A401" t="s">
        <v>476</v>
      </c>
      <c r="B401" t="s">
        <v>499</v>
      </c>
      <c r="C401" s="23">
        <v>25.388218999999999</v>
      </c>
      <c r="D401" s="23">
        <v>61.142010999999997</v>
      </c>
    </row>
    <row r="402" spans="1:4" x14ac:dyDescent="0.3">
      <c r="A402" t="s">
        <v>476</v>
      </c>
      <c r="B402" t="s">
        <v>500</v>
      </c>
      <c r="C402" s="23">
        <v>27.859428000000001</v>
      </c>
      <c r="D402" s="23">
        <v>60.176541999999998</v>
      </c>
    </row>
    <row r="403" spans="1:4" x14ac:dyDescent="0.3">
      <c r="A403" t="s">
        <v>476</v>
      </c>
      <c r="B403" t="s">
        <v>501</v>
      </c>
      <c r="C403" s="23">
        <v>31.106389</v>
      </c>
      <c r="D403" s="23">
        <v>61.416389000000002</v>
      </c>
    </row>
    <row r="404" spans="1:4" x14ac:dyDescent="0.3">
      <c r="A404" t="s">
        <v>476</v>
      </c>
      <c r="B404" t="s">
        <v>502</v>
      </c>
      <c r="C404" s="23">
        <v>31.042280999999999</v>
      </c>
      <c r="D404" s="23">
        <v>61.583055999999999</v>
      </c>
    </row>
    <row r="405" spans="1:4" x14ac:dyDescent="0.3">
      <c r="A405" t="s">
        <v>476</v>
      </c>
      <c r="B405" t="s">
        <v>503</v>
      </c>
      <c r="C405" s="23">
        <v>27.199902999999999</v>
      </c>
      <c r="D405" s="23">
        <v>60.477874999999997</v>
      </c>
    </row>
    <row r="406" spans="1:4" x14ac:dyDescent="0.3">
      <c r="A406" t="s">
        <v>476</v>
      </c>
      <c r="B406" t="s">
        <v>504</v>
      </c>
      <c r="C406" s="23">
        <v>26.085908</v>
      </c>
      <c r="D406" s="23">
        <v>61.768313999999997</v>
      </c>
    </row>
    <row r="407" spans="1:4" x14ac:dyDescent="0.3">
      <c r="A407" t="s">
        <v>476</v>
      </c>
      <c r="B407" t="s">
        <v>505</v>
      </c>
      <c r="C407" s="23">
        <v>26.305168999999999</v>
      </c>
      <c r="D407" s="23">
        <v>59.528230999999998</v>
      </c>
    </row>
    <row r="408" spans="1:4" x14ac:dyDescent="0.3">
      <c r="A408" t="s">
        <v>476</v>
      </c>
      <c r="B408" t="s">
        <v>506</v>
      </c>
      <c r="C408" s="23">
        <v>26.575210999999999</v>
      </c>
      <c r="D408" s="23">
        <v>59.642738999999999</v>
      </c>
    </row>
    <row r="409" spans="1:4" x14ac:dyDescent="0.3">
      <c r="A409" t="s">
        <v>507</v>
      </c>
      <c r="B409" t="s">
        <v>508</v>
      </c>
      <c r="C409" s="23">
        <v>27.662230999999998</v>
      </c>
      <c r="D409" s="23">
        <v>54.136608000000003</v>
      </c>
    </row>
    <row r="410" spans="1:4" x14ac:dyDescent="0.3">
      <c r="A410" t="s">
        <v>507</v>
      </c>
      <c r="B410" t="s">
        <v>509</v>
      </c>
      <c r="C410" s="24">
        <v>28.493459999999999</v>
      </c>
      <c r="D410" s="24">
        <v>53.53302</v>
      </c>
    </row>
    <row r="411" spans="1:4" x14ac:dyDescent="0.3">
      <c r="A411" t="s">
        <v>507</v>
      </c>
      <c r="B411" t="s">
        <v>510</v>
      </c>
      <c r="C411" s="25">
        <v>28.6538</v>
      </c>
      <c r="D411" s="25">
        <v>54.6858</v>
      </c>
    </row>
    <row r="412" spans="1:4" x14ac:dyDescent="0.3">
      <c r="A412" t="s">
        <v>507</v>
      </c>
      <c r="B412" t="s">
        <v>511</v>
      </c>
      <c r="C412" s="23">
        <v>29.019428000000001</v>
      </c>
      <c r="D412" s="23">
        <v>54.246566999999999</v>
      </c>
    </row>
    <row r="413" spans="1:4" x14ac:dyDescent="0.3">
      <c r="A413" t="s">
        <v>507</v>
      </c>
      <c r="B413" t="s">
        <v>512</v>
      </c>
      <c r="C413" s="24">
        <v>31.520230000000002</v>
      </c>
      <c r="D413" s="24">
        <v>52.128070000000001</v>
      </c>
    </row>
    <row r="414" spans="1:4" x14ac:dyDescent="0.3">
      <c r="A414" t="s">
        <v>507</v>
      </c>
      <c r="B414" t="s">
        <v>513</v>
      </c>
      <c r="C414" s="23">
        <v>29.529539</v>
      </c>
      <c r="D414" s="23">
        <v>51.397888999999999</v>
      </c>
    </row>
    <row r="415" spans="1:4" x14ac:dyDescent="0.3">
      <c r="A415" t="s">
        <v>507</v>
      </c>
      <c r="B415" t="s">
        <v>514</v>
      </c>
      <c r="C415" s="23">
        <v>29.872419000000001</v>
      </c>
      <c r="D415" s="23">
        <v>52.801419000000003</v>
      </c>
    </row>
    <row r="416" spans="1:4" x14ac:dyDescent="0.3">
      <c r="A416" t="s">
        <v>507</v>
      </c>
      <c r="B416" t="s">
        <v>515</v>
      </c>
      <c r="C416" s="23">
        <v>28.750881</v>
      </c>
      <c r="D416" s="24">
        <v>54.53745</v>
      </c>
    </row>
    <row r="417" spans="1:4" x14ac:dyDescent="0.3">
      <c r="A417" t="s">
        <v>507</v>
      </c>
      <c r="B417" t="s">
        <v>516</v>
      </c>
      <c r="C417" s="24">
        <v>28.867360000000001</v>
      </c>
      <c r="D417" s="25">
        <v>52.085099999999997</v>
      </c>
    </row>
    <row r="418" spans="1:4" x14ac:dyDescent="0.3">
      <c r="A418" t="s">
        <v>507</v>
      </c>
      <c r="B418" t="s">
        <v>517</v>
      </c>
      <c r="C418" s="23">
        <v>28.249510999999998</v>
      </c>
      <c r="D418" s="25">
        <v>53.984099999999998</v>
      </c>
    </row>
    <row r="419" spans="1:4" x14ac:dyDescent="0.3">
      <c r="A419" t="s">
        <v>507</v>
      </c>
      <c r="B419" t="s">
        <v>518</v>
      </c>
      <c r="C419" s="24">
        <v>28.86129</v>
      </c>
      <c r="D419" s="24">
        <v>52.577249999999999</v>
      </c>
    </row>
    <row r="420" spans="1:4" x14ac:dyDescent="0.3">
      <c r="A420" t="s">
        <v>507</v>
      </c>
      <c r="B420" t="s">
        <v>519</v>
      </c>
      <c r="C420" s="23">
        <v>30.316419</v>
      </c>
      <c r="D420" s="23">
        <v>52.199719000000002</v>
      </c>
    </row>
    <row r="421" spans="1:4" x14ac:dyDescent="0.3">
      <c r="A421" t="s">
        <v>507</v>
      </c>
      <c r="B421" t="s">
        <v>520</v>
      </c>
      <c r="C421" s="24">
        <v>27.894130000000001</v>
      </c>
      <c r="D421" s="24">
        <v>53.441560000000003</v>
      </c>
    </row>
    <row r="422" spans="1:4" x14ac:dyDescent="0.3">
      <c r="A422" t="s">
        <v>507</v>
      </c>
      <c r="B422" t="s">
        <v>521</v>
      </c>
      <c r="C422" s="25">
        <v>27.660699999999999</v>
      </c>
      <c r="D422" s="25">
        <v>52.658700000000003</v>
      </c>
    </row>
    <row r="423" spans="1:4" x14ac:dyDescent="0.3">
      <c r="A423" t="s">
        <v>507</v>
      </c>
      <c r="B423" t="s">
        <v>522</v>
      </c>
      <c r="C423" s="23">
        <v>30.454139000000001</v>
      </c>
      <c r="D423" s="23">
        <v>53.650480999999999</v>
      </c>
    </row>
    <row r="424" spans="1:4" x14ac:dyDescent="0.3">
      <c r="A424" t="s">
        <v>507</v>
      </c>
      <c r="B424" t="s">
        <v>523</v>
      </c>
      <c r="C424" s="23">
        <v>27.465619</v>
      </c>
      <c r="D424" s="23">
        <v>53.052461000000001</v>
      </c>
    </row>
    <row r="425" spans="1:4" x14ac:dyDescent="0.3">
      <c r="A425" t="s">
        <v>507</v>
      </c>
      <c r="B425" t="s">
        <v>524</v>
      </c>
      <c r="C425" s="24">
        <v>27.432549999999999</v>
      </c>
      <c r="D425" s="24">
        <v>53.513240000000003</v>
      </c>
    </row>
    <row r="426" spans="1:4" x14ac:dyDescent="0.3">
      <c r="A426" t="s">
        <v>507</v>
      </c>
      <c r="B426" t="s">
        <v>525</v>
      </c>
      <c r="C426" s="23">
        <v>29.191213999999999</v>
      </c>
      <c r="D426" s="23">
        <v>53.770502999999998</v>
      </c>
    </row>
    <row r="427" spans="1:4" x14ac:dyDescent="0.3">
      <c r="A427" t="s">
        <v>507</v>
      </c>
      <c r="B427" t="s">
        <v>526</v>
      </c>
      <c r="C427" s="23">
        <v>28.407281000000001</v>
      </c>
      <c r="D427" s="23">
        <v>54.183444000000001</v>
      </c>
    </row>
    <row r="428" spans="1:4" x14ac:dyDescent="0.3">
      <c r="A428" t="s">
        <v>507</v>
      </c>
      <c r="B428" t="s">
        <v>527</v>
      </c>
      <c r="C428" s="24">
        <v>30.279979999999998</v>
      </c>
      <c r="D428" s="24">
        <v>53.24776</v>
      </c>
    </row>
    <row r="429" spans="1:4" x14ac:dyDescent="0.3">
      <c r="A429" t="s">
        <v>507</v>
      </c>
      <c r="B429" t="s">
        <v>528</v>
      </c>
      <c r="C429" s="24">
        <v>28.939689999999999</v>
      </c>
      <c r="D429" s="25">
        <v>53.646599999999999</v>
      </c>
    </row>
    <row r="430" spans="1:4" x14ac:dyDescent="0.3">
      <c r="A430" t="s">
        <v>507</v>
      </c>
      <c r="B430" t="s">
        <v>529</v>
      </c>
      <c r="C430" s="23">
        <v>27.554753000000002</v>
      </c>
      <c r="D430" s="23">
        <v>52.882891999999998</v>
      </c>
    </row>
    <row r="431" spans="1:4" x14ac:dyDescent="0.3">
      <c r="A431" t="s">
        <v>507</v>
      </c>
      <c r="B431" t="s">
        <v>530</v>
      </c>
      <c r="C431" s="24">
        <v>30.71152</v>
      </c>
      <c r="D431" s="24">
        <v>52.172020000000003</v>
      </c>
    </row>
    <row r="432" spans="1:4" x14ac:dyDescent="0.3">
      <c r="A432" t="s">
        <v>507</v>
      </c>
      <c r="B432" t="s">
        <v>531</v>
      </c>
      <c r="C432" s="24">
        <v>27.762650000000001</v>
      </c>
      <c r="D432" s="23">
        <v>53.997661000000001</v>
      </c>
    </row>
    <row r="433" spans="1:4" x14ac:dyDescent="0.3">
      <c r="A433" t="s">
        <v>507</v>
      </c>
      <c r="B433" t="s">
        <v>532</v>
      </c>
      <c r="C433" s="23">
        <v>29.801760999999999</v>
      </c>
      <c r="D433" s="23">
        <v>51.694889000000003</v>
      </c>
    </row>
    <row r="434" spans="1:4" x14ac:dyDescent="0.3">
      <c r="A434" t="s">
        <v>507</v>
      </c>
      <c r="B434" t="s">
        <v>533</v>
      </c>
      <c r="C434" s="23">
        <v>29.476706</v>
      </c>
      <c r="D434" s="23">
        <v>54.333016999999998</v>
      </c>
    </row>
    <row r="435" spans="1:4" x14ac:dyDescent="0.3">
      <c r="A435" t="s">
        <v>507</v>
      </c>
      <c r="B435" t="s">
        <v>534</v>
      </c>
      <c r="C435" s="24">
        <v>30.079719999999998</v>
      </c>
      <c r="D435" s="24">
        <v>53.137569999999997</v>
      </c>
    </row>
    <row r="436" spans="1:4" x14ac:dyDescent="0.3">
      <c r="A436" t="s">
        <v>507</v>
      </c>
      <c r="B436" t="s">
        <v>535</v>
      </c>
      <c r="C436" s="23">
        <v>28.938056</v>
      </c>
      <c r="D436" s="26">
        <v>53.314999999999998</v>
      </c>
    </row>
    <row r="437" spans="1:4" x14ac:dyDescent="0.3">
      <c r="A437" t="s">
        <v>507</v>
      </c>
      <c r="B437" t="s">
        <v>536</v>
      </c>
      <c r="C437" s="24">
        <v>31.16086</v>
      </c>
      <c r="D437" s="25">
        <v>52.650599999999997</v>
      </c>
    </row>
    <row r="438" spans="1:4" x14ac:dyDescent="0.3">
      <c r="A438" t="s">
        <v>507</v>
      </c>
      <c r="B438" t="s">
        <v>537</v>
      </c>
      <c r="C438" s="24">
        <v>28.94652</v>
      </c>
      <c r="D438" s="24">
        <v>53.997529999999998</v>
      </c>
    </row>
    <row r="439" spans="1:4" x14ac:dyDescent="0.3">
      <c r="A439" t="s">
        <v>507</v>
      </c>
      <c r="B439" t="s">
        <v>538</v>
      </c>
      <c r="C439" s="23">
        <v>29.620811</v>
      </c>
      <c r="D439" s="23">
        <v>51.654010999999997</v>
      </c>
    </row>
    <row r="440" spans="1:4" x14ac:dyDescent="0.3">
      <c r="A440" t="s">
        <v>507</v>
      </c>
      <c r="B440" t="s">
        <v>539</v>
      </c>
      <c r="C440" s="23">
        <v>27.236488999999999</v>
      </c>
      <c r="D440" s="23">
        <v>53.597911000000003</v>
      </c>
    </row>
    <row r="441" spans="1:4" x14ac:dyDescent="0.3">
      <c r="A441" t="s">
        <v>507</v>
      </c>
      <c r="B441" t="s">
        <v>540</v>
      </c>
      <c r="C441" s="23">
        <v>28.311641999999999</v>
      </c>
      <c r="D441" s="23">
        <v>54.335275000000003</v>
      </c>
    </row>
    <row r="442" spans="1:4" x14ac:dyDescent="0.3">
      <c r="A442" t="s">
        <v>507</v>
      </c>
      <c r="B442" t="s">
        <v>541</v>
      </c>
      <c r="C442" s="23">
        <v>28.644839000000001</v>
      </c>
      <c r="D442" s="23">
        <v>53.642519</v>
      </c>
    </row>
    <row r="443" spans="1:4" x14ac:dyDescent="0.3">
      <c r="A443" t="s">
        <v>507</v>
      </c>
      <c r="B443" t="s">
        <v>542</v>
      </c>
      <c r="C443" s="23">
        <v>29.799467</v>
      </c>
      <c r="D443" s="23">
        <v>52.650747000000003</v>
      </c>
    </row>
    <row r="444" spans="1:4" x14ac:dyDescent="0.3">
      <c r="A444" t="s">
        <v>507</v>
      </c>
      <c r="B444" t="s">
        <v>543</v>
      </c>
      <c r="C444" s="23">
        <v>27.678768999999999</v>
      </c>
      <c r="D444" s="23">
        <v>54.338830999999999</v>
      </c>
    </row>
    <row r="445" spans="1:4" x14ac:dyDescent="0.3">
      <c r="A445" t="s">
        <v>507</v>
      </c>
      <c r="B445" t="s">
        <v>544</v>
      </c>
      <c r="C445" s="23">
        <v>29.776938999999999</v>
      </c>
      <c r="D445" s="23">
        <v>52.719996999999999</v>
      </c>
    </row>
    <row r="446" spans="1:4" x14ac:dyDescent="0.3">
      <c r="A446" t="s">
        <v>507</v>
      </c>
      <c r="B446" t="s">
        <v>545</v>
      </c>
      <c r="C446" s="23">
        <v>29.272161000000001</v>
      </c>
      <c r="D446" s="23">
        <v>53.221519000000001</v>
      </c>
    </row>
    <row r="447" spans="1:4" x14ac:dyDescent="0.3">
      <c r="A447" t="s">
        <v>507</v>
      </c>
      <c r="B447" t="s">
        <v>546</v>
      </c>
      <c r="C447" s="24">
        <v>29.56044</v>
      </c>
      <c r="D447" s="24">
        <v>51.335320000000003</v>
      </c>
    </row>
    <row r="448" spans="1:4" x14ac:dyDescent="0.3">
      <c r="A448" t="s">
        <v>507</v>
      </c>
      <c r="B448" t="s">
        <v>547</v>
      </c>
      <c r="C448" s="23">
        <v>28.346060999999999</v>
      </c>
      <c r="D448" s="23">
        <v>52.971161000000002</v>
      </c>
    </row>
    <row r="449" spans="1:4" x14ac:dyDescent="0.3">
      <c r="A449" t="s">
        <v>507</v>
      </c>
      <c r="B449" t="s">
        <v>548</v>
      </c>
      <c r="C449" s="23">
        <v>28.853660999999999</v>
      </c>
      <c r="D449" s="23">
        <v>53.821519000000002</v>
      </c>
    </row>
    <row r="450" spans="1:4" x14ac:dyDescent="0.3">
      <c r="A450" t="s">
        <v>507</v>
      </c>
      <c r="B450" t="s">
        <v>549</v>
      </c>
      <c r="C450" s="24">
        <v>30.007549999999998</v>
      </c>
      <c r="D450" s="24">
        <v>53.006279999999997</v>
      </c>
    </row>
    <row r="451" spans="1:4" x14ac:dyDescent="0.3">
      <c r="A451" t="s">
        <v>507</v>
      </c>
      <c r="B451" t="s">
        <v>550</v>
      </c>
      <c r="C451" s="23">
        <v>28.085046999999999</v>
      </c>
      <c r="D451" s="23">
        <v>54.048313999999998</v>
      </c>
    </row>
    <row r="452" spans="1:4" x14ac:dyDescent="0.3">
      <c r="A452" t="s">
        <v>507</v>
      </c>
      <c r="B452" t="s">
        <v>551</v>
      </c>
      <c r="C452" s="24">
        <v>28.752849999999999</v>
      </c>
      <c r="D452" s="24">
        <v>53.798180000000002</v>
      </c>
    </row>
    <row r="453" spans="1:4" x14ac:dyDescent="0.3">
      <c r="A453" t="s">
        <v>507</v>
      </c>
      <c r="B453" t="s">
        <v>552</v>
      </c>
      <c r="C453" s="24">
        <v>28.974930000000001</v>
      </c>
      <c r="D453" s="24">
        <v>53.217640000000003</v>
      </c>
    </row>
    <row r="454" spans="1:4" x14ac:dyDescent="0.3">
      <c r="A454" t="s">
        <v>507</v>
      </c>
      <c r="B454" t="s">
        <v>518</v>
      </c>
      <c r="C454" s="23">
        <v>33.898710999999999</v>
      </c>
      <c r="D454" s="23">
        <v>48.106510999999998</v>
      </c>
    </row>
    <row r="455" spans="1:4" x14ac:dyDescent="0.3">
      <c r="A455" t="s">
        <v>507</v>
      </c>
      <c r="B455" t="s">
        <v>553</v>
      </c>
      <c r="C455" s="24">
        <v>27.31711</v>
      </c>
      <c r="D455" s="24">
        <v>53.227350000000001</v>
      </c>
    </row>
    <row r="456" spans="1:4" x14ac:dyDescent="0.3">
      <c r="A456" t="s">
        <v>507</v>
      </c>
      <c r="B456" t="s">
        <v>554</v>
      </c>
      <c r="C456" s="24">
        <v>28.487010000000001</v>
      </c>
      <c r="D456" s="24">
        <v>53.036709999999999</v>
      </c>
    </row>
    <row r="457" spans="1:4" x14ac:dyDescent="0.3">
      <c r="A457" t="s">
        <v>507</v>
      </c>
      <c r="B457" t="s">
        <v>555</v>
      </c>
      <c r="C457" s="23">
        <v>29.973939000000001</v>
      </c>
      <c r="D457" s="24">
        <v>52.399949999999997</v>
      </c>
    </row>
    <row r="458" spans="1:4" x14ac:dyDescent="0.3">
      <c r="A458" t="s">
        <v>507</v>
      </c>
      <c r="B458" t="s">
        <v>556</v>
      </c>
      <c r="C458" s="25">
        <v>28.869499999999999</v>
      </c>
      <c r="D458" s="24">
        <v>52.752429999999997</v>
      </c>
    </row>
    <row r="459" spans="1:4" x14ac:dyDescent="0.3">
      <c r="A459" t="s">
        <v>507</v>
      </c>
      <c r="B459" t="s">
        <v>557</v>
      </c>
      <c r="C459" s="23">
        <v>29.126280999999999</v>
      </c>
      <c r="D459" s="23">
        <v>54.039056000000002</v>
      </c>
    </row>
    <row r="460" spans="1:4" x14ac:dyDescent="0.3">
      <c r="A460" t="s">
        <v>507</v>
      </c>
      <c r="B460" t="s">
        <v>558</v>
      </c>
      <c r="C460" s="23">
        <v>29.912127999999999</v>
      </c>
      <c r="D460" s="23">
        <v>53.303680999999997</v>
      </c>
    </row>
    <row r="461" spans="1:4" x14ac:dyDescent="0.3">
      <c r="A461" t="s">
        <v>507</v>
      </c>
      <c r="B461" t="s">
        <v>559</v>
      </c>
      <c r="C461" s="23">
        <v>29.618960999999999</v>
      </c>
      <c r="D461" s="23">
        <v>52.532381000000001</v>
      </c>
    </row>
    <row r="462" spans="1:4" x14ac:dyDescent="0.3">
      <c r="A462" t="s">
        <v>507</v>
      </c>
      <c r="B462" t="s">
        <v>560</v>
      </c>
      <c r="C462" s="23">
        <v>29.808921999999999</v>
      </c>
      <c r="D462" s="23">
        <v>53.726855999999998</v>
      </c>
    </row>
    <row r="463" spans="1:4" x14ac:dyDescent="0.3">
      <c r="A463" t="s">
        <v>507</v>
      </c>
      <c r="B463" t="s">
        <v>561</v>
      </c>
      <c r="C463" s="23">
        <v>29.201519000000001</v>
      </c>
      <c r="D463" s="24">
        <v>54.324750000000002</v>
      </c>
    </row>
    <row r="464" spans="1:4" x14ac:dyDescent="0.3">
      <c r="A464" t="s">
        <v>507</v>
      </c>
      <c r="B464" t="s">
        <v>562</v>
      </c>
      <c r="C464" s="24">
        <v>30.898689999999998</v>
      </c>
      <c r="D464" s="24">
        <v>52.69502</v>
      </c>
    </row>
    <row r="465" spans="1:4" x14ac:dyDescent="0.3">
      <c r="A465" t="s">
        <v>507</v>
      </c>
      <c r="B465" t="s">
        <v>563</v>
      </c>
      <c r="C465" s="25">
        <v>30.612500000000001</v>
      </c>
      <c r="D465" s="24">
        <v>53.197150000000001</v>
      </c>
    </row>
    <row r="466" spans="1:4" x14ac:dyDescent="0.3">
      <c r="A466" t="s">
        <v>507</v>
      </c>
      <c r="B466" t="s">
        <v>564</v>
      </c>
      <c r="C466" s="24">
        <v>30.24541</v>
      </c>
      <c r="D466" s="24">
        <v>51.528619999999997</v>
      </c>
    </row>
    <row r="467" spans="1:4" x14ac:dyDescent="0.3">
      <c r="A467" t="s">
        <v>507</v>
      </c>
      <c r="B467" t="s">
        <v>565</v>
      </c>
      <c r="C467" s="24">
        <v>31.032350000000001</v>
      </c>
      <c r="D467" s="24">
        <v>52.839030000000001</v>
      </c>
    </row>
    <row r="468" spans="1:4" x14ac:dyDescent="0.3">
      <c r="A468" t="s">
        <v>507</v>
      </c>
      <c r="B468" t="s">
        <v>566</v>
      </c>
      <c r="C468" s="23">
        <v>27.209011</v>
      </c>
      <c r="D468" s="23">
        <v>53.656989000000003</v>
      </c>
    </row>
    <row r="469" spans="1:4" x14ac:dyDescent="0.3">
      <c r="A469" t="s">
        <v>507</v>
      </c>
      <c r="B469" t="s">
        <v>567</v>
      </c>
      <c r="C469" s="23">
        <v>29.850363999999999</v>
      </c>
      <c r="D469" s="23">
        <v>51.579388999999999</v>
      </c>
    </row>
    <row r="470" spans="1:4" x14ac:dyDescent="0.3">
      <c r="A470" t="s">
        <v>507</v>
      </c>
      <c r="B470" t="s">
        <v>568</v>
      </c>
      <c r="C470" s="23">
        <v>29.562417</v>
      </c>
      <c r="D470" s="23">
        <v>52.929107999999999</v>
      </c>
    </row>
    <row r="471" spans="1:4" x14ac:dyDescent="0.3">
      <c r="A471" t="s">
        <v>507</v>
      </c>
      <c r="B471" t="s">
        <v>569</v>
      </c>
      <c r="C471" s="23">
        <v>29.196325000000002</v>
      </c>
      <c r="D471" s="23">
        <v>52.694293999999999</v>
      </c>
    </row>
    <row r="472" spans="1:4" x14ac:dyDescent="0.3">
      <c r="A472" t="s">
        <v>507</v>
      </c>
      <c r="B472" t="s">
        <v>570</v>
      </c>
      <c r="C472" s="23">
        <v>29.282281000000001</v>
      </c>
      <c r="D472" s="24">
        <v>51.938949999999998</v>
      </c>
    </row>
    <row r="473" spans="1:4" x14ac:dyDescent="0.3">
      <c r="A473" t="s">
        <v>507</v>
      </c>
      <c r="B473" t="s">
        <v>571</v>
      </c>
      <c r="C473" s="24">
        <v>31.192139999999998</v>
      </c>
      <c r="D473" s="24">
        <v>52.519910000000003</v>
      </c>
    </row>
    <row r="474" spans="1:4" x14ac:dyDescent="0.3">
      <c r="A474" t="s">
        <v>507</v>
      </c>
      <c r="B474" t="s">
        <v>572</v>
      </c>
      <c r="C474" s="28">
        <v>29.5</v>
      </c>
      <c r="D474" s="23">
        <v>53.316661000000003</v>
      </c>
    </row>
    <row r="475" spans="1:4" x14ac:dyDescent="0.3">
      <c r="A475" t="s">
        <v>507</v>
      </c>
      <c r="B475" t="s">
        <v>573</v>
      </c>
      <c r="C475" s="24">
        <v>31.192029999999999</v>
      </c>
      <c r="D475" s="24">
        <v>52.482930000000003</v>
      </c>
    </row>
    <row r="476" spans="1:4" x14ac:dyDescent="0.3">
      <c r="A476" t="s">
        <v>507</v>
      </c>
      <c r="B476" t="s">
        <v>574</v>
      </c>
      <c r="C476" s="23">
        <v>27.620569</v>
      </c>
      <c r="D476" s="24">
        <v>53.00685</v>
      </c>
    </row>
    <row r="477" spans="1:4" x14ac:dyDescent="0.3">
      <c r="A477" t="s">
        <v>575</v>
      </c>
      <c r="B477" t="s">
        <v>576</v>
      </c>
      <c r="C477" s="23">
        <v>36.229816999999997</v>
      </c>
      <c r="D477" s="23">
        <v>50.123147000000003</v>
      </c>
    </row>
    <row r="478" spans="1:4" x14ac:dyDescent="0.3">
      <c r="A478" t="s">
        <v>575</v>
      </c>
      <c r="B478" t="s">
        <v>577</v>
      </c>
      <c r="C478" s="24">
        <v>35.762160000000002</v>
      </c>
      <c r="D478" s="24">
        <v>50.060429999999997</v>
      </c>
    </row>
    <row r="479" spans="1:4" x14ac:dyDescent="0.3">
      <c r="A479" t="s">
        <v>575</v>
      </c>
      <c r="B479" t="s">
        <v>578</v>
      </c>
      <c r="C479" s="23">
        <v>36.285910999999999</v>
      </c>
      <c r="D479" s="24">
        <v>49.908749999999998</v>
      </c>
    </row>
    <row r="480" spans="1:4" x14ac:dyDescent="0.3">
      <c r="A480" t="s">
        <v>575</v>
      </c>
      <c r="B480" t="s">
        <v>579</v>
      </c>
      <c r="C480" s="23">
        <v>35.756180999999998</v>
      </c>
      <c r="D480" s="23">
        <v>49.287838999999998</v>
      </c>
    </row>
    <row r="481" spans="1:4" x14ac:dyDescent="0.3">
      <c r="A481" t="s">
        <v>575</v>
      </c>
      <c r="B481" t="s">
        <v>580</v>
      </c>
      <c r="C481" s="23">
        <v>35.929167</v>
      </c>
      <c r="D481" s="25">
        <v>49.512500000000003</v>
      </c>
    </row>
    <row r="482" spans="1:4" x14ac:dyDescent="0.3">
      <c r="A482" t="s">
        <v>575</v>
      </c>
      <c r="B482" t="s">
        <v>581</v>
      </c>
      <c r="C482" s="23">
        <v>36.538839000000003</v>
      </c>
      <c r="D482" s="23">
        <v>50.210718999999997</v>
      </c>
    </row>
    <row r="483" spans="1:4" x14ac:dyDescent="0.3">
      <c r="A483" t="s">
        <v>575</v>
      </c>
      <c r="B483" t="s">
        <v>582</v>
      </c>
      <c r="C483" s="24">
        <v>35.933129999999998</v>
      </c>
      <c r="D483" s="24">
        <v>49.746839999999999</v>
      </c>
    </row>
    <row r="484" spans="1:4" x14ac:dyDescent="0.3">
      <c r="A484" t="s">
        <v>575</v>
      </c>
      <c r="B484" t="s">
        <v>583</v>
      </c>
      <c r="C484" s="23">
        <v>36.046568999999998</v>
      </c>
      <c r="D484" s="23">
        <v>50.526581</v>
      </c>
    </row>
    <row r="485" spans="1:4" x14ac:dyDescent="0.3">
      <c r="A485" t="s">
        <v>575</v>
      </c>
      <c r="B485" t="s">
        <v>584</v>
      </c>
      <c r="C485" s="23">
        <v>36.235630999999998</v>
      </c>
      <c r="D485" s="24">
        <v>49.93215</v>
      </c>
    </row>
    <row r="486" spans="1:4" x14ac:dyDescent="0.3">
      <c r="A486" t="s">
        <v>575</v>
      </c>
      <c r="B486" t="s">
        <v>585</v>
      </c>
      <c r="C486" s="23">
        <v>36.646822</v>
      </c>
      <c r="D486" s="25">
        <v>49.188600000000001</v>
      </c>
    </row>
    <row r="487" spans="1:4" x14ac:dyDescent="0.3">
      <c r="A487" t="s">
        <v>575</v>
      </c>
      <c r="B487" t="s">
        <v>586</v>
      </c>
      <c r="C487" s="23">
        <v>36.310689000000004</v>
      </c>
      <c r="D487" s="23">
        <v>49.996239000000003</v>
      </c>
    </row>
    <row r="488" spans="1:4" x14ac:dyDescent="0.3">
      <c r="A488" t="s">
        <v>575</v>
      </c>
      <c r="B488" t="s">
        <v>587</v>
      </c>
      <c r="C488" s="23">
        <v>36.053781000000001</v>
      </c>
      <c r="D488" s="23">
        <v>49.826708000000004</v>
      </c>
    </row>
    <row r="489" spans="1:4" x14ac:dyDescent="0.3">
      <c r="A489" t="s">
        <v>575</v>
      </c>
      <c r="B489" t="s">
        <v>588</v>
      </c>
      <c r="C489" s="23">
        <v>36.190218999999999</v>
      </c>
      <c r="D489" s="23">
        <v>50.083739000000001</v>
      </c>
    </row>
    <row r="490" spans="1:4" x14ac:dyDescent="0.3">
      <c r="A490" t="s">
        <v>575</v>
      </c>
      <c r="B490" t="s">
        <v>589</v>
      </c>
      <c r="C490" s="23">
        <v>35.771977999999997</v>
      </c>
      <c r="D490" s="23">
        <v>49.930675000000001</v>
      </c>
    </row>
    <row r="491" spans="1:4" x14ac:dyDescent="0.3">
      <c r="A491" t="s">
        <v>575</v>
      </c>
      <c r="B491" t="s">
        <v>590</v>
      </c>
      <c r="C491" s="24">
        <v>35.813389999999998</v>
      </c>
      <c r="D491" s="24">
        <v>49.743839999999999</v>
      </c>
    </row>
    <row r="492" spans="1:4" x14ac:dyDescent="0.3">
      <c r="A492" t="s">
        <v>575</v>
      </c>
      <c r="B492" t="s">
        <v>591</v>
      </c>
      <c r="C492" s="23">
        <v>36.451411</v>
      </c>
      <c r="D492" s="23">
        <v>50.475911000000004</v>
      </c>
    </row>
    <row r="493" spans="1:4" x14ac:dyDescent="0.3">
      <c r="A493" t="s">
        <v>575</v>
      </c>
      <c r="B493" t="s">
        <v>592</v>
      </c>
      <c r="C493" s="23">
        <v>36.063980999999998</v>
      </c>
      <c r="D493" s="23">
        <v>49.695718999999997</v>
      </c>
    </row>
    <row r="494" spans="1:4" x14ac:dyDescent="0.3">
      <c r="A494" t="s">
        <v>575</v>
      </c>
      <c r="B494" t="s">
        <v>593</v>
      </c>
      <c r="C494" s="24">
        <v>35.57705</v>
      </c>
      <c r="D494" s="24">
        <v>49.220779999999998</v>
      </c>
    </row>
    <row r="495" spans="1:4" x14ac:dyDescent="0.3">
      <c r="A495" t="s">
        <v>575</v>
      </c>
      <c r="B495" t="s">
        <v>594</v>
      </c>
      <c r="C495" s="23">
        <v>35.991630999999998</v>
      </c>
      <c r="D495" s="23">
        <v>49.627861000000003</v>
      </c>
    </row>
    <row r="496" spans="1:4" x14ac:dyDescent="0.3">
      <c r="A496" t="s">
        <v>575</v>
      </c>
      <c r="B496" t="s">
        <v>595</v>
      </c>
      <c r="C496" s="23">
        <v>36.131107999999998</v>
      </c>
      <c r="D496" s="23">
        <v>50.176028000000002</v>
      </c>
    </row>
    <row r="497" spans="1:4" x14ac:dyDescent="0.3">
      <c r="A497" t="s">
        <v>575</v>
      </c>
      <c r="B497" t="s">
        <v>596</v>
      </c>
      <c r="C497" s="24">
        <v>35.901479999999999</v>
      </c>
      <c r="D497" s="25">
        <v>49.771799999999999</v>
      </c>
    </row>
    <row r="498" spans="1:4" x14ac:dyDescent="0.3">
      <c r="A498" t="s">
        <v>575</v>
      </c>
      <c r="B498" t="s">
        <v>597</v>
      </c>
      <c r="C498" s="23">
        <v>36.376786000000003</v>
      </c>
      <c r="D498" s="23">
        <v>49.662568999999998</v>
      </c>
    </row>
    <row r="499" spans="1:4" x14ac:dyDescent="0.3">
      <c r="A499" t="s">
        <v>575</v>
      </c>
      <c r="B499" t="s">
        <v>598</v>
      </c>
      <c r="C499" s="23">
        <v>36.220792000000003</v>
      </c>
      <c r="D499" s="23">
        <v>50.183906</v>
      </c>
    </row>
    <row r="500" spans="1:4" x14ac:dyDescent="0.3">
      <c r="A500" t="s">
        <v>599</v>
      </c>
      <c r="B500" t="s">
        <v>600</v>
      </c>
      <c r="C500" s="25">
        <v>34.788200000000003</v>
      </c>
      <c r="D500" s="25">
        <v>50.5854</v>
      </c>
    </row>
    <row r="501" spans="1:4" x14ac:dyDescent="0.3">
      <c r="A501" t="s">
        <v>599</v>
      </c>
      <c r="B501" t="s">
        <v>601</v>
      </c>
      <c r="C501" s="24">
        <v>34.389110000000002</v>
      </c>
      <c r="D501" s="24">
        <v>50.861550000000001</v>
      </c>
    </row>
    <row r="502" spans="1:4" x14ac:dyDescent="0.3">
      <c r="A502" t="s">
        <v>599</v>
      </c>
      <c r="B502" t="s">
        <v>602</v>
      </c>
      <c r="C502" s="23">
        <v>34.614167000000002</v>
      </c>
      <c r="D502" s="23">
        <v>51.028610999999998</v>
      </c>
    </row>
    <row r="503" spans="1:4" x14ac:dyDescent="0.3">
      <c r="A503" t="s">
        <v>599</v>
      </c>
      <c r="B503" t="s">
        <v>603</v>
      </c>
      <c r="C503" s="23">
        <v>34.552278000000001</v>
      </c>
      <c r="D503" s="23">
        <v>50.249336</v>
      </c>
    </row>
    <row r="504" spans="1:4" x14ac:dyDescent="0.3">
      <c r="A504" t="s">
        <v>599</v>
      </c>
      <c r="B504" t="s">
        <v>604</v>
      </c>
      <c r="C504" s="24">
        <v>34.649270000000001</v>
      </c>
      <c r="D504" s="24">
        <v>50.877890000000001</v>
      </c>
    </row>
    <row r="505" spans="1:4" x14ac:dyDescent="0.3">
      <c r="A505" t="s">
        <v>605</v>
      </c>
      <c r="B505" t="s">
        <v>606</v>
      </c>
      <c r="C505" s="23">
        <v>35.931035999999999</v>
      </c>
      <c r="D505" s="23">
        <v>45.796303000000002</v>
      </c>
    </row>
    <row r="506" spans="1:4" x14ac:dyDescent="0.3">
      <c r="A506" t="s">
        <v>605</v>
      </c>
      <c r="B506" t="s">
        <v>607</v>
      </c>
      <c r="C506" s="23">
        <v>35.283092000000003</v>
      </c>
      <c r="D506" s="23">
        <v>47.418577999999997</v>
      </c>
    </row>
    <row r="507" spans="1:4" x14ac:dyDescent="0.3">
      <c r="A507" t="s">
        <v>605</v>
      </c>
      <c r="B507" t="s">
        <v>608</v>
      </c>
      <c r="C507" s="23">
        <v>36.059589000000003</v>
      </c>
      <c r="D507" s="25">
        <v>46.916699999999999</v>
      </c>
    </row>
    <row r="508" spans="1:4" x14ac:dyDescent="0.3">
      <c r="A508" t="s">
        <v>605</v>
      </c>
      <c r="B508" t="s">
        <v>609</v>
      </c>
      <c r="C508" s="23">
        <v>36.059705999999998</v>
      </c>
      <c r="D508" s="24">
        <v>45.748649999999998</v>
      </c>
    </row>
    <row r="509" spans="1:4" x14ac:dyDescent="0.3">
      <c r="A509" t="s">
        <v>605</v>
      </c>
      <c r="B509" t="s">
        <v>610</v>
      </c>
      <c r="C509" s="23">
        <v>35.167619000000002</v>
      </c>
      <c r="D509" s="23">
        <v>47.800060999999999</v>
      </c>
    </row>
    <row r="510" spans="1:4" x14ac:dyDescent="0.3">
      <c r="A510" t="s">
        <v>605</v>
      </c>
      <c r="B510" t="s">
        <v>611</v>
      </c>
      <c r="C510" s="23">
        <v>35.989410999999997</v>
      </c>
      <c r="D510" s="23">
        <v>45.890881</v>
      </c>
    </row>
    <row r="511" spans="1:4" x14ac:dyDescent="0.3">
      <c r="A511" t="s">
        <v>605</v>
      </c>
      <c r="B511" t="s">
        <v>612</v>
      </c>
      <c r="C511" s="23">
        <v>35.520018999999998</v>
      </c>
      <c r="D511" s="23">
        <v>46.176172000000001</v>
      </c>
    </row>
    <row r="512" spans="1:4" x14ac:dyDescent="0.3">
      <c r="A512" t="s">
        <v>605</v>
      </c>
      <c r="B512" t="s">
        <v>613</v>
      </c>
      <c r="C512" s="23">
        <v>35.318775000000002</v>
      </c>
      <c r="D512" s="23">
        <v>46.378293999999997</v>
      </c>
    </row>
    <row r="513" spans="1:4" x14ac:dyDescent="0.3">
      <c r="A513" t="s">
        <v>605</v>
      </c>
      <c r="B513" t="s">
        <v>614</v>
      </c>
      <c r="C513" s="24">
        <v>35.318359999999998</v>
      </c>
      <c r="D513" s="24">
        <v>46.996740000000003</v>
      </c>
    </row>
    <row r="514" spans="1:4" x14ac:dyDescent="0.3">
      <c r="A514" t="s">
        <v>605</v>
      </c>
      <c r="B514" t="s">
        <v>615</v>
      </c>
      <c r="C514" s="24">
        <v>36.283749999999998</v>
      </c>
      <c r="D514" s="23">
        <v>47.747788999999997</v>
      </c>
    </row>
    <row r="515" spans="1:4" x14ac:dyDescent="0.3">
      <c r="A515" t="s">
        <v>605</v>
      </c>
      <c r="B515" t="s">
        <v>616</v>
      </c>
      <c r="C515" s="23">
        <v>35.631739000000003</v>
      </c>
      <c r="D515" s="25">
        <v>46.301600000000001</v>
      </c>
    </row>
    <row r="516" spans="1:4" x14ac:dyDescent="0.3">
      <c r="A516" t="s">
        <v>605</v>
      </c>
      <c r="B516" t="s">
        <v>617</v>
      </c>
      <c r="C516" s="23">
        <v>35.916511</v>
      </c>
      <c r="D516" s="23">
        <v>47.020941999999998</v>
      </c>
    </row>
    <row r="517" spans="1:4" x14ac:dyDescent="0.3">
      <c r="A517" t="s">
        <v>605</v>
      </c>
      <c r="B517" t="s">
        <v>618</v>
      </c>
      <c r="C517" s="23">
        <v>35.063685999999997</v>
      </c>
      <c r="D517" s="23">
        <v>47.966994</v>
      </c>
    </row>
    <row r="518" spans="1:4" x14ac:dyDescent="0.3">
      <c r="A518" t="s">
        <v>605</v>
      </c>
      <c r="B518" t="s">
        <v>619</v>
      </c>
      <c r="C518" s="24">
        <v>35.938749999999999</v>
      </c>
      <c r="D518" s="23">
        <v>45.937511000000001</v>
      </c>
    </row>
    <row r="519" spans="1:4" x14ac:dyDescent="0.3">
      <c r="A519" t="s">
        <v>605</v>
      </c>
      <c r="B519" t="s">
        <v>620</v>
      </c>
      <c r="C519" s="24">
        <v>35.249850000000002</v>
      </c>
      <c r="D519" s="23">
        <v>47.777952999999997</v>
      </c>
    </row>
    <row r="520" spans="1:4" x14ac:dyDescent="0.3">
      <c r="A520" t="s">
        <v>605</v>
      </c>
      <c r="B520" t="s">
        <v>621</v>
      </c>
      <c r="C520" s="23">
        <v>35.244844000000001</v>
      </c>
      <c r="D520" s="23">
        <v>47.986168999999997</v>
      </c>
    </row>
    <row r="521" spans="1:4" x14ac:dyDescent="0.3">
      <c r="A521" t="s">
        <v>605</v>
      </c>
      <c r="B521" t="s">
        <v>622</v>
      </c>
      <c r="C521" s="23">
        <v>36.200878000000003</v>
      </c>
      <c r="D521" s="23">
        <v>46.464219</v>
      </c>
    </row>
    <row r="522" spans="1:4" x14ac:dyDescent="0.3">
      <c r="A522" t="s">
        <v>605</v>
      </c>
      <c r="B522" t="s">
        <v>623</v>
      </c>
      <c r="C522" s="24">
        <v>35.87285</v>
      </c>
      <c r="D522" s="23">
        <v>47.602369000000003</v>
      </c>
    </row>
    <row r="523" spans="1:4" x14ac:dyDescent="0.3">
      <c r="A523" t="s">
        <v>605</v>
      </c>
      <c r="B523" t="s">
        <v>624</v>
      </c>
      <c r="C523" s="23">
        <v>35.677728000000002</v>
      </c>
      <c r="D523" s="23">
        <v>47.797263999999998</v>
      </c>
    </row>
    <row r="524" spans="1:4" x14ac:dyDescent="0.3">
      <c r="A524" t="s">
        <v>605</v>
      </c>
      <c r="B524" t="s">
        <v>625</v>
      </c>
      <c r="C524" s="23">
        <v>36.242581000000001</v>
      </c>
      <c r="D524" s="23">
        <v>46.266860999999999</v>
      </c>
    </row>
    <row r="525" spans="1:4" x14ac:dyDescent="0.3">
      <c r="A525" t="s">
        <v>605</v>
      </c>
      <c r="B525" t="s">
        <v>626</v>
      </c>
      <c r="C525" s="23">
        <v>35.055641999999999</v>
      </c>
      <c r="D525" s="23">
        <v>47.151344000000002</v>
      </c>
    </row>
    <row r="526" spans="1:4" x14ac:dyDescent="0.3">
      <c r="A526" t="s">
        <v>605</v>
      </c>
      <c r="B526" t="s">
        <v>627</v>
      </c>
      <c r="C526" s="23">
        <v>34.792436000000002</v>
      </c>
      <c r="D526" s="23">
        <v>46.933566999999996</v>
      </c>
    </row>
    <row r="527" spans="1:4" x14ac:dyDescent="0.3">
      <c r="A527" t="s">
        <v>605</v>
      </c>
      <c r="B527" t="s">
        <v>628</v>
      </c>
      <c r="C527" s="23">
        <v>35.357331000000002</v>
      </c>
      <c r="D527" s="23">
        <v>46.678058</v>
      </c>
    </row>
    <row r="528" spans="1:4" x14ac:dyDescent="0.3">
      <c r="A528" t="s">
        <v>629</v>
      </c>
      <c r="B528" t="s">
        <v>630</v>
      </c>
      <c r="C528" s="24">
        <v>29.44877</v>
      </c>
      <c r="D528" s="24">
        <v>55.679519999999997</v>
      </c>
    </row>
    <row r="529" spans="1:4" x14ac:dyDescent="0.3">
      <c r="A529" t="s">
        <v>629</v>
      </c>
      <c r="B529" t="s">
        <v>631</v>
      </c>
      <c r="C529" s="25">
        <v>28.953099999999999</v>
      </c>
      <c r="D529" s="24">
        <v>58.884569999999997</v>
      </c>
    </row>
    <row r="530" spans="1:4" x14ac:dyDescent="0.3">
      <c r="A530" t="s">
        <v>629</v>
      </c>
      <c r="B530" t="s">
        <v>632</v>
      </c>
      <c r="C530" s="24">
        <v>30.53002</v>
      </c>
      <c r="D530" s="24">
        <v>55.649760000000001</v>
      </c>
    </row>
    <row r="531" spans="1:4" x14ac:dyDescent="0.3">
      <c r="A531" t="s">
        <v>629</v>
      </c>
      <c r="B531" t="s">
        <v>633</v>
      </c>
      <c r="C531" s="24">
        <v>30.807780000000001</v>
      </c>
      <c r="D531" s="24">
        <v>56.569369999999999</v>
      </c>
    </row>
    <row r="532" spans="1:4" x14ac:dyDescent="0.3">
      <c r="A532" t="s">
        <v>629</v>
      </c>
      <c r="B532" t="s">
        <v>634</v>
      </c>
      <c r="C532" s="25">
        <v>29.880199999999999</v>
      </c>
      <c r="D532" s="25">
        <v>57.737400000000001</v>
      </c>
    </row>
    <row r="533" spans="1:4" x14ac:dyDescent="0.3">
      <c r="A533" t="s">
        <v>629</v>
      </c>
      <c r="B533" t="s">
        <v>635</v>
      </c>
      <c r="C533" s="23">
        <v>28.456161000000002</v>
      </c>
      <c r="D533" s="23">
        <v>56.358818999999997</v>
      </c>
    </row>
    <row r="534" spans="1:4" x14ac:dyDescent="0.3">
      <c r="A534" t="s">
        <v>629</v>
      </c>
      <c r="B534" t="s">
        <v>636</v>
      </c>
      <c r="C534" s="23">
        <v>28.355667</v>
      </c>
      <c r="D534" s="23">
        <v>58.160471999999999</v>
      </c>
    </row>
    <row r="535" spans="1:4" x14ac:dyDescent="0.3">
      <c r="A535" t="s">
        <v>629</v>
      </c>
      <c r="B535" t="s">
        <v>637</v>
      </c>
      <c r="C535" s="24">
        <v>30.413129999999999</v>
      </c>
      <c r="D535" s="24">
        <v>56.912680000000002</v>
      </c>
    </row>
    <row r="536" spans="1:4" x14ac:dyDescent="0.3">
      <c r="A536" t="s">
        <v>629</v>
      </c>
      <c r="B536" t="s">
        <v>638</v>
      </c>
      <c r="C536" s="24">
        <v>29.232579999999999</v>
      </c>
      <c r="D536" s="24">
        <v>56.59901</v>
      </c>
    </row>
    <row r="537" spans="1:4" x14ac:dyDescent="0.3">
      <c r="A537" t="s">
        <v>629</v>
      </c>
      <c r="B537" t="s">
        <v>639</v>
      </c>
      <c r="C537" s="24">
        <v>31.413019999999999</v>
      </c>
      <c r="D537" s="24">
        <v>56.280650000000001</v>
      </c>
    </row>
    <row r="538" spans="1:4" x14ac:dyDescent="0.3">
      <c r="A538" t="s">
        <v>629</v>
      </c>
      <c r="B538" t="s">
        <v>640</v>
      </c>
      <c r="C538" s="24">
        <v>30.690729999999999</v>
      </c>
      <c r="D538" s="24">
        <v>54.88167</v>
      </c>
    </row>
    <row r="539" spans="1:4" x14ac:dyDescent="0.3">
      <c r="A539" t="s">
        <v>629</v>
      </c>
      <c r="B539" t="s">
        <v>641</v>
      </c>
      <c r="C539" s="24">
        <v>29.929749999999999</v>
      </c>
      <c r="D539" s="24">
        <v>56.567639999999997</v>
      </c>
    </row>
    <row r="540" spans="1:4" x14ac:dyDescent="0.3">
      <c r="A540" t="s">
        <v>629</v>
      </c>
      <c r="B540" t="s">
        <v>642</v>
      </c>
      <c r="C540" s="23">
        <v>28.475275</v>
      </c>
      <c r="D540" s="27">
        <v>57.85</v>
      </c>
    </row>
    <row r="541" spans="1:4" x14ac:dyDescent="0.3">
      <c r="A541" t="s">
        <v>629</v>
      </c>
      <c r="B541" t="s">
        <v>643</v>
      </c>
      <c r="C541" s="24">
        <v>29.87501</v>
      </c>
      <c r="D541" s="24">
        <v>55.748559999999998</v>
      </c>
    </row>
    <row r="542" spans="1:4" x14ac:dyDescent="0.3">
      <c r="A542" t="s">
        <v>629</v>
      </c>
      <c r="B542" t="s">
        <v>644</v>
      </c>
      <c r="C542" s="23">
        <v>29.250810999999999</v>
      </c>
      <c r="D542" s="23">
        <v>56.699230999999997</v>
      </c>
    </row>
    <row r="543" spans="1:4" x14ac:dyDescent="0.3">
      <c r="A543" t="s">
        <v>629</v>
      </c>
      <c r="B543" t="s">
        <v>645</v>
      </c>
      <c r="C543" s="25">
        <v>27.525099999999998</v>
      </c>
      <c r="D543" s="25">
        <v>57.881500000000003</v>
      </c>
    </row>
    <row r="544" spans="1:4" x14ac:dyDescent="0.3">
      <c r="A544" t="s">
        <v>629</v>
      </c>
      <c r="B544" t="s">
        <v>646</v>
      </c>
      <c r="C544" s="24">
        <v>31.270679999999999</v>
      </c>
      <c r="D544" s="24">
        <v>56.802549999999997</v>
      </c>
    </row>
    <row r="545" spans="1:4" x14ac:dyDescent="0.3">
      <c r="A545" t="s">
        <v>629</v>
      </c>
      <c r="B545" t="s">
        <v>647</v>
      </c>
      <c r="C545" s="25">
        <v>30.6023</v>
      </c>
      <c r="D545" s="24">
        <v>56.907089999999997</v>
      </c>
    </row>
    <row r="546" spans="1:4" x14ac:dyDescent="0.3">
      <c r="A546" t="s">
        <v>629</v>
      </c>
      <c r="B546" t="s">
        <v>648</v>
      </c>
      <c r="C546" s="24">
        <v>29.29025</v>
      </c>
      <c r="D546" s="24">
        <v>56.913139999999999</v>
      </c>
    </row>
    <row r="547" spans="1:4" x14ac:dyDescent="0.3">
      <c r="A547" t="s">
        <v>629</v>
      </c>
      <c r="B547" t="s">
        <v>649</v>
      </c>
      <c r="C547" s="23">
        <v>30.865030999999998</v>
      </c>
      <c r="D547" s="23">
        <v>56.361288999999999</v>
      </c>
    </row>
    <row r="548" spans="1:4" x14ac:dyDescent="0.3">
      <c r="A548" t="s">
        <v>629</v>
      </c>
      <c r="B548" t="s">
        <v>650</v>
      </c>
      <c r="C548" s="23">
        <v>29.386419</v>
      </c>
      <c r="D548" s="23">
        <v>55.713661000000002</v>
      </c>
    </row>
    <row r="549" spans="1:4" x14ac:dyDescent="0.3">
      <c r="A549" t="s">
        <v>629</v>
      </c>
      <c r="B549" t="s">
        <v>651</v>
      </c>
      <c r="C549" s="24">
        <v>29.861750000000001</v>
      </c>
      <c r="D549" s="25">
        <v>56.801200000000001</v>
      </c>
    </row>
    <row r="550" spans="1:4" x14ac:dyDescent="0.3">
      <c r="A550" t="s">
        <v>629</v>
      </c>
      <c r="B550" t="s">
        <v>652</v>
      </c>
      <c r="C550" s="23">
        <v>30.328011</v>
      </c>
      <c r="D550" s="23">
        <v>56.923338999999999</v>
      </c>
    </row>
    <row r="551" spans="1:4" x14ac:dyDescent="0.3">
      <c r="A551" t="s">
        <v>629</v>
      </c>
      <c r="B551" t="s">
        <v>653</v>
      </c>
      <c r="C551" s="23">
        <v>30.759938999999999</v>
      </c>
      <c r="D551" s="23">
        <v>56.986519000000001</v>
      </c>
    </row>
    <row r="552" spans="1:4" x14ac:dyDescent="0.3">
      <c r="A552" t="s">
        <v>629</v>
      </c>
      <c r="B552" t="s">
        <v>654</v>
      </c>
      <c r="C552" s="23">
        <v>30.903607999999998</v>
      </c>
      <c r="D552" s="23">
        <v>55.730269</v>
      </c>
    </row>
    <row r="553" spans="1:4" x14ac:dyDescent="0.3">
      <c r="A553" t="s">
        <v>629</v>
      </c>
      <c r="B553" t="s">
        <v>655</v>
      </c>
      <c r="C553" s="25">
        <v>36.823099999999997</v>
      </c>
      <c r="D553" s="23">
        <v>49.425919</v>
      </c>
    </row>
    <row r="554" spans="1:4" x14ac:dyDescent="0.3">
      <c r="A554" t="s">
        <v>629</v>
      </c>
      <c r="B554" t="s">
        <v>656</v>
      </c>
      <c r="C554" s="23">
        <v>30.073689000000002</v>
      </c>
      <c r="D554" s="23">
        <v>57.231330999999997</v>
      </c>
    </row>
    <row r="555" spans="1:4" x14ac:dyDescent="0.3">
      <c r="A555" t="s">
        <v>629</v>
      </c>
      <c r="B555" t="s">
        <v>657</v>
      </c>
      <c r="C555" s="24">
        <v>30.71866</v>
      </c>
      <c r="D555" s="24">
        <v>56.778579999999998</v>
      </c>
    </row>
    <row r="556" spans="1:4" x14ac:dyDescent="0.3">
      <c r="A556" t="s">
        <v>629</v>
      </c>
      <c r="B556" t="s">
        <v>658</v>
      </c>
      <c r="C556" s="23">
        <v>29.598569000000001</v>
      </c>
      <c r="D556" s="24">
        <v>57.436450000000001</v>
      </c>
    </row>
    <row r="557" spans="1:4" x14ac:dyDescent="0.3">
      <c r="A557" t="s">
        <v>629</v>
      </c>
      <c r="B557" t="s">
        <v>659</v>
      </c>
      <c r="C557" s="23">
        <v>30.060096999999999</v>
      </c>
      <c r="D557" s="23">
        <v>57.110739000000002</v>
      </c>
    </row>
    <row r="558" spans="1:4" x14ac:dyDescent="0.3">
      <c r="A558" t="s">
        <v>629</v>
      </c>
      <c r="B558" t="s">
        <v>660</v>
      </c>
      <c r="C558" s="25">
        <v>29.7043</v>
      </c>
      <c r="D558" s="25">
        <v>57.0383</v>
      </c>
    </row>
    <row r="559" spans="1:4" x14ac:dyDescent="0.3">
      <c r="A559" t="s">
        <v>629</v>
      </c>
      <c r="B559" t="s">
        <v>661</v>
      </c>
      <c r="C559" s="23">
        <v>30.413668999999999</v>
      </c>
      <c r="D559" s="23">
        <v>57.704068999999997</v>
      </c>
    </row>
    <row r="560" spans="1:4" x14ac:dyDescent="0.3">
      <c r="A560" t="s">
        <v>629</v>
      </c>
      <c r="B560" t="s">
        <v>662</v>
      </c>
      <c r="C560" s="23">
        <v>27.916667</v>
      </c>
      <c r="D560" s="23">
        <v>57.716667000000001</v>
      </c>
    </row>
    <row r="561" spans="1:4" x14ac:dyDescent="0.3">
      <c r="A561" t="s">
        <v>629</v>
      </c>
      <c r="B561" t="s">
        <v>663</v>
      </c>
      <c r="C561" s="23">
        <v>28.907305999999998</v>
      </c>
      <c r="D561" s="23">
        <v>57.885261</v>
      </c>
    </row>
    <row r="562" spans="1:4" x14ac:dyDescent="0.3">
      <c r="A562" t="s">
        <v>629</v>
      </c>
      <c r="B562" t="s">
        <v>664</v>
      </c>
      <c r="C562" s="23">
        <v>29.097874999999998</v>
      </c>
      <c r="D562" s="23">
        <v>58.349055999999997</v>
      </c>
    </row>
    <row r="563" spans="1:4" x14ac:dyDescent="0.3">
      <c r="A563" t="s">
        <v>629</v>
      </c>
      <c r="B563" t="s">
        <v>665</v>
      </c>
      <c r="C563" s="24">
        <v>30.410350000000001</v>
      </c>
      <c r="D563" s="24">
        <v>56.002960000000002</v>
      </c>
    </row>
    <row r="564" spans="1:4" x14ac:dyDescent="0.3">
      <c r="A564" t="s">
        <v>629</v>
      </c>
      <c r="B564" t="s">
        <v>666</v>
      </c>
      <c r="C564" s="23">
        <v>28.669339000000001</v>
      </c>
      <c r="D564" s="23">
        <v>57.739381000000002</v>
      </c>
    </row>
    <row r="565" spans="1:4" x14ac:dyDescent="0.3">
      <c r="A565" t="s">
        <v>629</v>
      </c>
      <c r="B565" t="s">
        <v>667</v>
      </c>
      <c r="C565" s="23">
        <v>29.050118999999999</v>
      </c>
      <c r="D565" s="23">
        <v>58.402461000000002</v>
      </c>
    </row>
    <row r="566" spans="1:4" x14ac:dyDescent="0.3">
      <c r="A566" t="s">
        <v>629</v>
      </c>
      <c r="B566" t="s">
        <v>668</v>
      </c>
      <c r="C566" s="25">
        <v>27.409500000000001</v>
      </c>
      <c r="D566" s="25">
        <v>57.4953</v>
      </c>
    </row>
    <row r="567" spans="1:4" x14ac:dyDescent="0.3">
      <c r="A567" t="s">
        <v>629</v>
      </c>
      <c r="B567" t="s">
        <v>669</v>
      </c>
      <c r="C567" s="24">
        <v>30.122610000000002</v>
      </c>
      <c r="D567" s="24">
        <v>55.118949999999998</v>
      </c>
    </row>
    <row r="568" spans="1:4" x14ac:dyDescent="0.3">
      <c r="A568" t="s">
        <v>629</v>
      </c>
      <c r="B568" t="s">
        <v>670</v>
      </c>
      <c r="C568" s="25">
        <v>28.065200000000001</v>
      </c>
      <c r="D568" s="23">
        <v>57.270018999999998</v>
      </c>
    </row>
    <row r="569" spans="1:4" x14ac:dyDescent="0.3">
      <c r="A569" t="s">
        <v>629</v>
      </c>
      <c r="B569" t="s">
        <v>671</v>
      </c>
      <c r="C569" s="23">
        <v>30.233331</v>
      </c>
      <c r="D569" s="27">
        <v>57.75</v>
      </c>
    </row>
    <row r="570" spans="1:4" x14ac:dyDescent="0.3">
      <c r="A570" t="s">
        <v>629</v>
      </c>
      <c r="B570" t="s">
        <v>672</v>
      </c>
      <c r="C570" s="25">
        <v>28.9543</v>
      </c>
      <c r="D570" s="23">
        <v>58.694481000000003</v>
      </c>
    </row>
    <row r="571" spans="1:4" x14ac:dyDescent="0.3">
      <c r="A571" t="s">
        <v>629</v>
      </c>
      <c r="B571" t="s">
        <v>673</v>
      </c>
      <c r="C571" s="24">
        <v>30.192250000000001</v>
      </c>
      <c r="D571" s="24">
        <v>56.814619999999998</v>
      </c>
    </row>
    <row r="572" spans="1:4" x14ac:dyDescent="0.3">
      <c r="A572" t="s">
        <v>629</v>
      </c>
      <c r="B572" t="s">
        <v>674</v>
      </c>
      <c r="C572" s="24">
        <v>30.86928</v>
      </c>
      <c r="D572" s="24">
        <v>55.273409999999998</v>
      </c>
    </row>
    <row r="573" spans="1:4" x14ac:dyDescent="0.3">
      <c r="A573" t="s">
        <v>629</v>
      </c>
      <c r="B573" t="s">
        <v>675</v>
      </c>
      <c r="C573" s="23">
        <v>29.993469000000001</v>
      </c>
      <c r="D573" s="23">
        <v>55.794410999999997</v>
      </c>
    </row>
    <row r="574" spans="1:4" x14ac:dyDescent="0.3">
      <c r="A574" t="s">
        <v>629</v>
      </c>
      <c r="B574" t="s">
        <v>676</v>
      </c>
      <c r="C574" s="24">
        <v>30.28773</v>
      </c>
      <c r="D574" s="24">
        <v>57.078780000000002</v>
      </c>
    </row>
    <row r="575" spans="1:4" x14ac:dyDescent="0.3">
      <c r="A575" t="s">
        <v>629</v>
      </c>
      <c r="B575" t="s">
        <v>677</v>
      </c>
      <c r="C575" s="25">
        <v>29.2378</v>
      </c>
      <c r="D575" s="25">
        <v>57.332799999999999</v>
      </c>
    </row>
    <row r="576" spans="1:4" x14ac:dyDescent="0.3">
      <c r="A576" t="s">
        <v>629</v>
      </c>
      <c r="B576" t="s">
        <v>655</v>
      </c>
      <c r="C576" s="25">
        <v>28.006499999999999</v>
      </c>
      <c r="D576" s="23">
        <v>58.002496999999998</v>
      </c>
    </row>
    <row r="577" spans="1:4" x14ac:dyDescent="0.3">
      <c r="A577" t="s">
        <v>629</v>
      </c>
      <c r="B577" t="s">
        <v>678</v>
      </c>
      <c r="C577" s="23">
        <v>27.542777999999998</v>
      </c>
      <c r="D577" s="23">
        <v>57.444718999999999</v>
      </c>
    </row>
    <row r="578" spans="1:4" x14ac:dyDescent="0.3">
      <c r="A578" t="s">
        <v>629</v>
      </c>
      <c r="B578" t="s">
        <v>679</v>
      </c>
      <c r="C578" s="23">
        <v>29.600930999999999</v>
      </c>
      <c r="D578" s="23">
        <v>55.536788999999999</v>
      </c>
    </row>
    <row r="579" spans="1:4" x14ac:dyDescent="0.3">
      <c r="A579" t="s">
        <v>629</v>
      </c>
      <c r="B579" t="s">
        <v>680</v>
      </c>
      <c r="C579" s="23">
        <v>30.841660999999998</v>
      </c>
      <c r="D579" s="23">
        <v>55.340639000000003</v>
      </c>
    </row>
    <row r="580" spans="1:4" x14ac:dyDescent="0.3">
      <c r="A580" t="s">
        <v>629</v>
      </c>
      <c r="B580" t="s">
        <v>681</v>
      </c>
      <c r="C580" s="25">
        <v>31.2333</v>
      </c>
      <c r="D580" s="23">
        <v>56.399996999999999</v>
      </c>
    </row>
    <row r="581" spans="1:4" x14ac:dyDescent="0.3">
      <c r="A581" t="s">
        <v>629</v>
      </c>
      <c r="B581" t="s">
        <v>682</v>
      </c>
      <c r="C581" s="23">
        <v>30.050111000000001</v>
      </c>
      <c r="D581" s="23">
        <v>57.288919</v>
      </c>
    </row>
    <row r="582" spans="1:4" x14ac:dyDescent="0.3">
      <c r="A582" t="s">
        <v>629</v>
      </c>
      <c r="B582" t="s">
        <v>683</v>
      </c>
      <c r="C582" s="24">
        <v>30.567219999999999</v>
      </c>
      <c r="D582" s="24">
        <v>56.84731</v>
      </c>
    </row>
    <row r="583" spans="1:4" x14ac:dyDescent="0.3">
      <c r="A583" t="s">
        <v>629</v>
      </c>
      <c r="B583" t="s">
        <v>684</v>
      </c>
      <c r="C583" s="24">
        <v>28.91695</v>
      </c>
      <c r="D583" s="23">
        <v>58.547089</v>
      </c>
    </row>
    <row r="584" spans="1:4" x14ac:dyDescent="0.3">
      <c r="A584" t="s">
        <v>685</v>
      </c>
      <c r="B584" t="s">
        <v>686</v>
      </c>
      <c r="C584" s="23">
        <v>30.860610999999999</v>
      </c>
      <c r="D584" s="23">
        <v>50.456668999999998</v>
      </c>
    </row>
    <row r="585" spans="1:4" x14ac:dyDescent="0.3">
      <c r="A585" t="s">
        <v>685</v>
      </c>
      <c r="B585" t="s">
        <v>687</v>
      </c>
      <c r="C585" s="25">
        <v>30.750900000000001</v>
      </c>
      <c r="D585" s="25">
        <v>50.741500000000002</v>
      </c>
    </row>
    <row r="586" spans="1:4" x14ac:dyDescent="0.3">
      <c r="A586" t="s">
        <v>685</v>
      </c>
      <c r="B586" t="s">
        <v>688</v>
      </c>
      <c r="C586" s="25">
        <v>30.900500000000001</v>
      </c>
      <c r="D586" s="25">
        <v>50.101599999999998</v>
      </c>
    </row>
    <row r="587" spans="1:4" x14ac:dyDescent="0.3">
      <c r="A587" t="s">
        <v>685</v>
      </c>
      <c r="B587" t="s">
        <v>689</v>
      </c>
      <c r="C587" s="24">
        <v>30.992370000000001</v>
      </c>
      <c r="D587" s="24">
        <v>51.082529999999998</v>
      </c>
    </row>
    <row r="588" spans="1:4" x14ac:dyDescent="0.3">
      <c r="A588" t="s">
        <v>685</v>
      </c>
      <c r="B588" t="s">
        <v>690</v>
      </c>
      <c r="C588" s="24">
        <v>30.863669999999999</v>
      </c>
      <c r="D588" s="24">
        <v>51.456209999999999</v>
      </c>
    </row>
    <row r="589" spans="1:4" x14ac:dyDescent="0.3">
      <c r="A589" t="s">
        <v>685</v>
      </c>
      <c r="B589" t="s">
        <v>691</v>
      </c>
      <c r="C589" s="23">
        <v>31.189924999999999</v>
      </c>
      <c r="D589" s="23">
        <v>50.441291999999997</v>
      </c>
    </row>
    <row r="590" spans="1:4" x14ac:dyDescent="0.3">
      <c r="A590" t="s">
        <v>685</v>
      </c>
      <c r="B590" t="s">
        <v>692</v>
      </c>
      <c r="C590" s="23">
        <v>31.297211000000001</v>
      </c>
      <c r="D590" s="23">
        <v>50.403139000000003</v>
      </c>
    </row>
    <row r="591" spans="1:4" x14ac:dyDescent="0.3">
      <c r="A591" t="s">
        <v>685</v>
      </c>
      <c r="B591" t="s">
        <v>693</v>
      </c>
      <c r="C591" s="24">
        <v>30.672419999999999</v>
      </c>
      <c r="D591" s="24">
        <v>51.58146</v>
      </c>
    </row>
    <row r="592" spans="1:4" x14ac:dyDescent="0.3">
      <c r="A592" t="s">
        <v>685</v>
      </c>
      <c r="B592" t="s">
        <v>694</v>
      </c>
      <c r="C592" s="23">
        <v>30.790289000000001</v>
      </c>
      <c r="D592" s="23">
        <v>50.558985999999997</v>
      </c>
    </row>
    <row r="593" spans="1:4" x14ac:dyDescent="0.3">
      <c r="A593" t="s">
        <v>685</v>
      </c>
      <c r="B593" t="s">
        <v>695</v>
      </c>
      <c r="C593" s="23">
        <v>30.356472</v>
      </c>
      <c r="D593" s="23">
        <v>50.793875</v>
      </c>
    </row>
    <row r="594" spans="1:4" x14ac:dyDescent="0.3">
      <c r="A594" t="s">
        <v>685</v>
      </c>
      <c r="B594" t="s">
        <v>696</v>
      </c>
      <c r="C594" s="23">
        <v>30.942606000000001</v>
      </c>
      <c r="D594" s="23">
        <v>50.896794</v>
      </c>
    </row>
    <row r="595" spans="1:4" x14ac:dyDescent="0.3">
      <c r="A595" t="s">
        <v>685</v>
      </c>
      <c r="B595" t="s">
        <v>697</v>
      </c>
      <c r="C595" s="24">
        <v>30.36308</v>
      </c>
      <c r="D595" s="24">
        <v>51.156579999999998</v>
      </c>
    </row>
    <row r="596" spans="1:4" x14ac:dyDescent="0.3">
      <c r="A596" t="s">
        <v>685</v>
      </c>
      <c r="B596" t="s">
        <v>698</v>
      </c>
      <c r="C596" s="25">
        <v>30.979099999999999</v>
      </c>
      <c r="D596" s="23">
        <v>50.424988999999997</v>
      </c>
    </row>
    <row r="597" spans="1:4" x14ac:dyDescent="0.3">
      <c r="A597" t="s">
        <v>699</v>
      </c>
      <c r="B597" t="s">
        <v>700</v>
      </c>
      <c r="C597" s="23">
        <v>37.030856</v>
      </c>
      <c r="D597" s="23">
        <v>55.031343999999997</v>
      </c>
    </row>
    <row r="598" spans="1:4" x14ac:dyDescent="0.3">
      <c r="A598" t="s">
        <v>699</v>
      </c>
      <c r="B598" t="s">
        <v>701</v>
      </c>
      <c r="C598" s="23">
        <v>36.742361000000002</v>
      </c>
      <c r="D598" s="23">
        <v>53.906322000000003</v>
      </c>
    </row>
    <row r="599" spans="1:4" x14ac:dyDescent="0.3">
      <c r="A599" t="s">
        <v>699</v>
      </c>
      <c r="B599" t="s">
        <v>702</v>
      </c>
      <c r="C599" s="23">
        <v>37.074880999999998</v>
      </c>
      <c r="D599" s="23">
        <v>55.262481000000001</v>
      </c>
    </row>
    <row r="600" spans="1:4" x14ac:dyDescent="0.3">
      <c r="A600" t="s">
        <v>699</v>
      </c>
      <c r="B600" t="s">
        <v>703</v>
      </c>
      <c r="C600" s="23">
        <v>37.011952999999998</v>
      </c>
      <c r="D600" s="23">
        <v>54.231755999999997</v>
      </c>
    </row>
    <row r="601" spans="1:4" x14ac:dyDescent="0.3">
      <c r="A601" t="s">
        <v>699</v>
      </c>
      <c r="B601" t="s">
        <v>704</v>
      </c>
      <c r="C601" s="24">
        <v>37.379350000000002</v>
      </c>
      <c r="D601" s="23">
        <v>55.492919000000001</v>
      </c>
    </row>
    <row r="602" spans="1:4" x14ac:dyDescent="0.3">
      <c r="A602" t="s">
        <v>699</v>
      </c>
      <c r="B602" t="s">
        <v>705</v>
      </c>
      <c r="C602" s="23">
        <v>37.079875000000001</v>
      </c>
      <c r="D602" s="23">
        <v>54.076585999999999</v>
      </c>
    </row>
    <row r="603" spans="1:4" x14ac:dyDescent="0.3">
      <c r="A603" t="s">
        <v>699</v>
      </c>
      <c r="B603" t="s">
        <v>706</v>
      </c>
      <c r="C603" s="24">
        <v>36.835560000000001</v>
      </c>
      <c r="D603" s="24">
        <v>54.435769999999998</v>
      </c>
    </row>
    <row r="604" spans="1:4" x14ac:dyDescent="0.3">
      <c r="A604" t="s">
        <v>699</v>
      </c>
      <c r="B604" t="s">
        <v>707</v>
      </c>
      <c r="C604" s="23">
        <v>36.899996999999999</v>
      </c>
      <c r="D604" s="27">
        <v>54.75</v>
      </c>
    </row>
    <row r="605" spans="1:4" x14ac:dyDescent="0.3">
      <c r="A605" t="s">
        <v>699</v>
      </c>
      <c r="B605" t="s">
        <v>708</v>
      </c>
      <c r="C605" s="23">
        <v>37.013361000000003</v>
      </c>
      <c r="D605" s="23">
        <v>55.144030999999998</v>
      </c>
    </row>
    <row r="606" spans="1:4" x14ac:dyDescent="0.3">
      <c r="A606" t="s">
        <v>699</v>
      </c>
      <c r="B606" t="s">
        <v>709</v>
      </c>
      <c r="C606" s="23">
        <v>37.229308000000003</v>
      </c>
      <c r="D606" s="23">
        <v>55.379747000000002</v>
      </c>
    </row>
    <row r="607" spans="1:4" x14ac:dyDescent="0.3">
      <c r="A607" t="s">
        <v>699</v>
      </c>
      <c r="B607" t="s">
        <v>710</v>
      </c>
      <c r="C607" s="23">
        <v>36.793318999999997</v>
      </c>
      <c r="D607" s="23">
        <v>54.108789000000002</v>
      </c>
    </row>
    <row r="608" spans="1:4" x14ac:dyDescent="0.3">
      <c r="A608" t="s">
        <v>699</v>
      </c>
      <c r="B608" t="s">
        <v>711</v>
      </c>
      <c r="C608" s="23">
        <v>37.270339</v>
      </c>
      <c r="D608" s="23">
        <v>55.429738999999998</v>
      </c>
    </row>
    <row r="609" spans="1:4" x14ac:dyDescent="0.3">
      <c r="A609" t="s">
        <v>699</v>
      </c>
      <c r="B609" t="s">
        <v>712</v>
      </c>
      <c r="C609" s="23">
        <v>37.011980999999999</v>
      </c>
      <c r="D609" s="23">
        <v>54.985861</v>
      </c>
    </row>
    <row r="610" spans="1:4" x14ac:dyDescent="0.3">
      <c r="A610" t="s">
        <v>699</v>
      </c>
      <c r="B610" t="s">
        <v>713</v>
      </c>
      <c r="C610" s="23">
        <v>37.140436000000001</v>
      </c>
      <c r="D610" s="23">
        <v>55.166196999999997</v>
      </c>
    </row>
    <row r="611" spans="1:4" x14ac:dyDescent="0.3">
      <c r="A611" t="s">
        <v>699</v>
      </c>
      <c r="B611" t="s">
        <v>714</v>
      </c>
      <c r="C611" s="23">
        <v>37.135914</v>
      </c>
      <c r="D611" s="25">
        <v>54.615200000000002</v>
      </c>
    </row>
    <row r="612" spans="1:4" x14ac:dyDescent="0.3">
      <c r="A612" t="s">
        <v>699</v>
      </c>
      <c r="B612" t="s">
        <v>715</v>
      </c>
      <c r="C612" s="23">
        <v>36.905310999999998</v>
      </c>
      <c r="D612" s="23">
        <v>54.867561000000002</v>
      </c>
    </row>
    <row r="613" spans="1:4" x14ac:dyDescent="0.3">
      <c r="A613" t="s">
        <v>699</v>
      </c>
      <c r="B613" t="s">
        <v>716</v>
      </c>
      <c r="C613" s="23">
        <v>37.455396999999998</v>
      </c>
      <c r="D613" s="23">
        <v>54.718024999999997</v>
      </c>
    </row>
    <row r="614" spans="1:4" x14ac:dyDescent="0.3">
      <c r="A614" t="s">
        <v>699</v>
      </c>
      <c r="B614" t="s">
        <v>717</v>
      </c>
      <c r="C614" s="24">
        <v>37.087350000000001</v>
      </c>
      <c r="D614" s="23">
        <v>55.177788999999997</v>
      </c>
    </row>
    <row r="615" spans="1:4" x14ac:dyDescent="0.3">
      <c r="A615" t="s">
        <v>699</v>
      </c>
      <c r="B615" t="s">
        <v>718</v>
      </c>
      <c r="C615" s="23">
        <v>37.011780999999999</v>
      </c>
      <c r="D615" s="23">
        <v>54.454011000000001</v>
      </c>
    </row>
    <row r="616" spans="1:4" x14ac:dyDescent="0.3">
      <c r="A616" t="s">
        <v>699</v>
      </c>
      <c r="B616" t="s">
        <v>719</v>
      </c>
      <c r="C616" s="23">
        <v>36.892414000000002</v>
      </c>
      <c r="D616" s="23">
        <v>54.568635999999998</v>
      </c>
    </row>
    <row r="617" spans="1:4" x14ac:dyDescent="0.3">
      <c r="A617" t="s">
        <v>720</v>
      </c>
      <c r="B617" t="s">
        <v>721</v>
      </c>
      <c r="C617" s="24">
        <v>37.279530000000001</v>
      </c>
      <c r="D617" s="24">
        <v>49.585419999999999</v>
      </c>
    </row>
    <row r="618" spans="1:4" x14ac:dyDescent="0.3">
      <c r="A618" t="s">
        <v>720</v>
      </c>
      <c r="B618" t="s">
        <v>722</v>
      </c>
      <c r="C618" s="24">
        <v>37.201819999999998</v>
      </c>
      <c r="D618" s="24">
        <v>50.011569999999999</v>
      </c>
    </row>
    <row r="619" spans="1:4" x14ac:dyDescent="0.3">
      <c r="A619" t="s">
        <v>723</v>
      </c>
      <c r="B619" t="s">
        <v>724</v>
      </c>
      <c r="C619" s="23">
        <v>36.781511000000002</v>
      </c>
      <c r="D619" s="23">
        <v>50.872338999999997</v>
      </c>
    </row>
    <row r="620" spans="1:4" x14ac:dyDescent="0.3">
      <c r="A620" t="s">
        <v>723</v>
      </c>
      <c r="B620" t="s">
        <v>725</v>
      </c>
      <c r="C620" s="23">
        <v>33.404288999999999</v>
      </c>
      <c r="D620" s="25">
        <v>49.691400000000002</v>
      </c>
    </row>
    <row r="621" spans="1:4" x14ac:dyDescent="0.3">
      <c r="A621" t="s">
        <v>723</v>
      </c>
      <c r="B621" t="s">
        <v>726</v>
      </c>
      <c r="C621" s="24">
        <v>33.459820000000001</v>
      </c>
      <c r="D621" s="24">
        <v>49.454949999999997</v>
      </c>
    </row>
    <row r="622" spans="1:4" x14ac:dyDescent="0.3">
      <c r="A622" t="s">
        <v>723</v>
      </c>
      <c r="B622" t="s">
        <v>727</v>
      </c>
      <c r="C622" s="23">
        <v>33.152661000000002</v>
      </c>
      <c r="D622" s="23">
        <v>47.713039000000002</v>
      </c>
    </row>
    <row r="623" spans="1:4" x14ac:dyDescent="0.3">
      <c r="A623" t="s">
        <v>723</v>
      </c>
      <c r="B623" t="s">
        <v>728</v>
      </c>
      <c r="C623" s="24">
        <v>33.898130000000002</v>
      </c>
      <c r="D623" s="25">
        <v>48.749899999999997</v>
      </c>
    </row>
    <row r="624" spans="1:4" x14ac:dyDescent="0.3">
      <c r="A624" t="s">
        <v>723</v>
      </c>
      <c r="B624" t="s">
        <v>729</v>
      </c>
      <c r="C624" s="23">
        <v>33.474057999999999</v>
      </c>
      <c r="D624" s="23">
        <v>47.236863999999997</v>
      </c>
    </row>
    <row r="625" spans="1:4" x14ac:dyDescent="0.3">
      <c r="A625" t="s">
        <v>723</v>
      </c>
      <c r="B625" t="s">
        <v>724</v>
      </c>
      <c r="C625" s="24">
        <v>33.498640000000002</v>
      </c>
      <c r="D625" s="24">
        <v>48.35716</v>
      </c>
    </row>
    <row r="626" spans="1:4" x14ac:dyDescent="0.3">
      <c r="A626" t="s">
        <v>723</v>
      </c>
      <c r="B626" t="s">
        <v>730</v>
      </c>
      <c r="C626" s="23">
        <v>34.073830999999998</v>
      </c>
      <c r="D626" s="23">
        <v>47.972211000000001</v>
      </c>
    </row>
    <row r="627" spans="1:4" x14ac:dyDescent="0.3">
      <c r="A627" t="s">
        <v>723</v>
      </c>
      <c r="B627" t="s">
        <v>731</v>
      </c>
      <c r="C627" s="23">
        <v>33.562818999999998</v>
      </c>
      <c r="D627" s="23">
        <v>48.021380999999998</v>
      </c>
    </row>
    <row r="628" spans="1:4" x14ac:dyDescent="0.3">
      <c r="A628" t="s">
        <v>723</v>
      </c>
      <c r="B628" t="s">
        <v>732</v>
      </c>
      <c r="C628" s="23">
        <v>33.647680999999999</v>
      </c>
      <c r="D628" s="23">
        <v>48.561689000000001</v>
      </c>
    </row>
    <row r="629" spans="1:4" x14ac:dyDescent="0.3">
      <c r="A629" t="s">
        <v>723</v>
      </c>
      <c r="B629" t="s">
        <v>733</v>
      </c>
      <c r="C629" s="23">
        <v>33.663881000000003</v>
      </c>
      <c r="D629" s="23">
        <v>48.905380999999998</v>
      </c>
    </row>
    <row r="630" spans="1:4" x14ac:dyDescent="0.3">
      <c r="A630" t="s">
        <v>723</v>
      </c>
      <c r="B630" t="s">
        <v>734</v>
      </c>
      <c r="C630" s="28">
        <v>33.5</v>
      </c>
      <c r="D630" s="24">
        <v>48.705849999999998</v>
      </c>
    </row>
    <row r="631" spans="1:4" x14ac:dyDescent="0.3">
      <c r="A631" t="s">
        <v>723</v>
      </c>
      <c r="B631" t="s">
        <v>735</v>
      </c>
      <c r="C631" s="24">
        <v>34.01614</v>
      </c>
      <c r="D631" s="24">
        <v>48.641280000000002</v>
      </c>
    </row>
    <row r="632" spans="1:4" x14ac:dyDescent="0.3">
      <c r="A632" t="s">
        <v>723</v>
      </c>
      <c r="B632" t="s">
        <v>736</v>
      </c>
      <c r="C632" s="24">
        <v>33.492829999999998</v>
      </c>
      <c r="D632" s="24">
        <v>49.06129</v>
      </c>
    </row>
    <row r="633" spans="1:4" x14ac:dyDescent="0.3">
      <c r="A633" t="s">
        <v>723</v>
      </c>
      <c r="B633" t="s">
        <v>737</v>
      </c>
      <c r="C633" s="23">
        <v>33.532935999999999</v>
      </c>
      <c r="D633" s="23">
        <v>47.607036000000001</v>
      </c>
    </row>
    <row r="634" spans="1:4" x14ac:dyDescent="0.3">
      <c r="A634" t="s">
        <v>723</v>
      </c>
      <c r="B634" t="s">
        <v>730</v>
      </c>
      <c r="C634" s="24">
        <v>30.118690000000001</v>
      </c>
      <c r="D634" s="24">
        <v>51.525260000000003</v>
      </c>
    </row>
    <row r="635" spans="1:4" x14ac:dyDescent="0.3">
      <c r="A635" t="s">
        <v>723</v>
      </c>
      <c r="B635" t="s">
        <v>738</v>
      </c>
      <c r="C635" s="23">
        <v>33.401941999999998</v>
      </c>
      <c r="D635" s="23">
        <v>47.327181000000003</v>
      </c>
    </row>
    <row r="636" spans="1:4" x14ac:dyDescent="0.3">
      <c r="A636" t="s">
        <v>723</v>
      </c>
      <c r="B636" t="s">
        <v>739</v>
      </c>
      <c r="C636" s="23">
        <v>33.689166999999998</v>
      </c>
      <c r="D636" s="23">
        <v>47.151667000000003</v>
      </c>
    </row>
    <row r="637" spans="1:4" x14ac:dyDescent="0.3">
      <c r="A637" t="s">
        <v>723</v>
      </c>
      <c r="B637" t="s">
        <v>740</v>
      </c>
      <c r="C637" s="23">
        <v>33.281621999999999</v>
      </c>
      <c r="D637" s="23">
        <v>47.509310999999997</v>
      </c>
    </row>
    <row r="638" spans="1:4" x14ac:dyDescent="0.3">
      <c r="A638" t="s">
        <v>723</v>
      </c>
      <c r="B638" t="s">
        <v>741</v>
      </c>
      <c r="C638" s="24">
        <v>33.863250000000001</v>
      </c>
      <c r="D638" s="24">
        <v>48.261710000000001</v>
      </c>
    </row>
    <row r="639" spans="1:4" x14ac:dyDescent="0.3">
      <c r="A639" t="s">
        <v>723</v>
      </c>
      <c r="B639" t="s">
        <v>742</v>
      </c>
      <c r="C639" s="23">
        <v>33.378469000000003</v>
      </c>
      <c r="D639" s="23">
        <v>47.961466999999999</v>
      </c>
    </row>
    <row r="640" spans="1:4" x14ac:dyDescent="0.3">
      <c r="A640" t="s">
        <v>723</v>
      </c>
      <c r="B640" t="s">
        <v>743</v>
      </c>
      <c r="C640" s="24">
        <v>33.220010000000002</v>
      </c>
      <c r="D640" s="24">
        <v>48.881439999999998</v>
      </c>
    </row>
    <row r="641" spans="1:4" x14ac:dyDescent="0.3">
      <c r="A641" t="s">
        <v>723</v>
      </c>
      <c r="B641" t="s">
        <v>744</v>
      </c>
      <c r="C641" s="23">
        <v>33.488961000000003</v>
      </c>
      <c r="D641" s="23">
        <v>48.030938999999996</v>
      </c>
    </row>
    <row r="642" spans="1:4" x14ac:dyDescent="0.3">
      <c r="A642" t="s">
        <v>745</v>
      </c>
      <c r="B642" t="s">
        <v>746</v>
      </c>
      <c r="C642" s="24">
        <v>36.559759999999997</v>
      </c>
      <c r="D642" s="24">
        <v>53.064959999999999</v>
      </c>
    </row>
    <row r="643" spans="1:4" x14ac:dyDescent="0.3">
      <c r="A643" t="s">
        <v>747</v>
      </c>
      <c r="B643" t="s">
        <v>748</v>
      </c>
      <c r="C643" s="26">
        <v>25.875</v>
      </c>
      <c r="D643" s="25">
        <v>55.021299999999997</v>
      </c>
    </row>
    <row r="644" spans="1:4" x14ac:dyDescent="0.3">
      <c r="A644" t="s">
        <v>747</v>
      </c>
      <c r="B644" t="s">
        <v>749</v>
      </c>
      <c r="C644" s="24">
        <v>27.095780000000001</v>
      </c>
      <c r="D644" s="24">
        <v>56.451320000000003</v>
      </c>
    </row>
    <row r="645" spans="1:4" x14ac:dyDescent="0.3">
      <c r="A645" t="s">
        <v>747</v>
      </c>
      <c r="B645" t="s">
        <v>750</v>
      </c>
      <c r="C645" s="25">
        <v>27.147500000000001</v>
      </c>
      <c r="D645" s="23">
        <v>57.074368999999997</v>
      </c>
    </row>
    <row r="646" spans="1:4" x14ac:dyDescent="0.3">
      <c r="A646" t="s">
        <v>747</v>
      </c>
      <c r="B646" t="s">
        <v>751</v>
      </c>
      <c r="C646" s="23">
        <v>26.950980999999999</v>
      </c>
      <c r="D646" s="23">
        <v>55.588388999999999</v>
      </c>
    </row>
    <row r="647" spans="1:4" x14ac:dyDescent="0.3">
      <c r="A647" t="s">
        <v>747</v>
      </c>
      <c r="B647" t="s">
        <v>752</v>
      </c>
      <c r="C647" s="24">
        <v>27.18824</v>
      </c>
      <c r="D647" s="24">
        <v>56.276479999999999</v>
      </c>
    </row>
    <row r="648" spans="1:4" x14ac:dyDescent="0.3">
      <c r="A648" t="s">
        <v>747</v>
      </c>
      <c r="B648" t="s">
        <v>753</v>
      </c>
      <c r="C648" s="23">
        <v>26.517313999999999</v>
      </c>
      <c r="D648" s="23">
        <v>57.101108000000004</v>
      </c>
    </row>
    <row r="649" spans="1:4" x14ac:dyDescent="0.3">
      <c r="A649" t="s">
        <v>747</v>
      </c>
      <c r="B649" t="s">
        <v>754</v>
      </c>
      <c r="C649" s="25">
        <v>27.016300000000001</v>
      </c>
      <c r="D649" s="23">
        <v>54.283718999999998</v>
      </c>
    </row>
    <row r="650" spans="1:4" x14ac:dyDescent="0.3">
      <c r="A650" t="s">
        <v>747</v>
      </c>
      <c r="B650" t="s">
        <v>755</v>
      </c>
      <c r="C650" s="23">
        <v>26.597318999999999</v>
      </c>
      <c r="D650" s="23">
        <v>54.938730999999997</v>
      </c>
    </row>
    <row r="651" spans="1:4" x14ac:dyDescent="0.3">
      <c r="A651" t="s">
        <v>747</v>
      </c>
      <c r="B651" t="s">
        <v>756</v>
      </c>
      <c r="C651" s="23">
        <v>28.009211000000001</v>
      </c>
      <c r="D651" s="23">
        <v>56.253188999999999</v>
      </c>
    </row>
    <row r="652" spans="1:4" x14ac:dyDescent="0.3">
      <c r="A652" t="s">
        <v>747</v>
      </c>
      <c r="B652" t="s">
        <v>757</v>
      </c>
      <c r="C652" s="24">
        <v>27.20851</v>
      </c>
      <c r="D652" s="24">
        <v>53.034880000000001</v>
      </c>
    </row>
    <row r="653" spans="1:4" x14ac:dyDescent="0.3">
      <c r="A653" t="s">
        <v>747</v>
      </c>
      <c r="B653" t="s">
        <v>758</v>
      </c>
      <c r="C653" s="23">
        <v>26.962719</v>
      </c>
      <c r="D653" s="23">
        <v>56.064864</v>
      </c>
    </row>
    <row r="654" spans="1:4" x14ac:dyDescent="0.3">
      <c r="A654" t="s">
        <v>747</v>
      </c>
      <c r="B654" t="s">
        <v>759</v>
      </c>
      <c r="C654" s="23">
        <v>27.740444</v>
      </c>
      <c r="D654" s="23">
        <v>57.220560999999996</v>
      </c>
    </row>
    <row r="655" spans="1:4" x14ac:dyDescent="0.3">
      <c r="A655" t="s">
        <v>747</v>
      </c>
      <c r="B655" t="s">
        <v>760</v>
      </c>
      <c r="C655" s="23">
        <v>26.955711000000001</v>
      </c>
      <c r="D655" s="23">
        <v>56.266430999999997</v>
      </c>
    </row>
    <row r="656" spans="1:4" x14ac:dyDescent="0.3">
      <c r="A656" t="s">
        <v>747</v>
      </c>
      <c r="B656" t="s">
        <v>761</v>
      </c>
      <c r="C656" s="26">
        <v>27.445</v>
      </c>
      <c r="D656" s="24">
        <v>57.189259999999997</v>
      </c>
    </row>
    <row r="657" spans="1:4" x14ac:dyDescent="0.3">
      <c r="A657" t="s">
        <v>747</v>
      </c>
      <c r="B657" t="s">
        <v>762</v>
      </c>
      <c r="C657" s="23">
        <v>27.198188999999999</v>
      </c>
      <c r="D657" s="23">
        <v>54.362831</v>
      </c>
    </row>
    <row r="658" spans="1:4" x14ac:dyDescent="0.3">
      <c r="A658" t="s">
        <v>747</v>
      </c>
      <c r="B658" t="s">
        <v>763</v>
      </c>
      <c r="C658" s="23">
        <v>26.551133</v>
      </c>
      <c r="D658" s="23">
        <v>53.998902999999999</v>
      </c>
    </row>
    <row r="659" spans="1:4" x14ac:dyDescent="0.3">
      <c r="A659" t="s">
        <v>747</v>
      </c>
      <c r="B659" t="s">
        <v>764</v>
      </c>
      <c r="C659" s="23">
        <v>26.777557999999999</v>
      </c>
      <c r="D659" s="23">
        <v>56.063208000000003</v>
      </c>
    </row>
    <row r="660" spans="1:4" x14ac:dyDescent="0.3">
      <c r="A660" t="s">
        <v>747</v>
      </c>
      <c r="B660" t="s">
        <v>765</v>
      </c>
      <c r="C660" s="23">
        <v>27.627421999999999</v>
      </c>
      <c r="D660" s="23">
        <v>55.902928000000003</v>
      </c>
    </row>
    <row r="661" spans="1:4" x14ac:dyDescent="0.3">
      <c r="A661" t="s">
        <v>747</v>
      </c>
      <c r="B661" t="s">
        <v>766</v>
      </c>
      <c r="C661" s="25">
        <v>27.426600000000001</v>
      </c>
      <c r="D661" s="23">
        <v>57.240161000000001</v>
      </c>
    </row>
    <row r="662" spans="1:4" x14ac:dyDescent="0.3">
      <c r="A662" t="s">
        <v>767</v>
      </c>
      <c r="B662" t="s">
        <v>768</v>
      </c>
      <c r="C662" s="23">
        <v>34.213132999999999</v>
      </c>
      <c r="D662" s="23">
        <v>48.253974999999997</v>
      </c>
    </row>
    <row r="663" spans="1:4" x14ac:dyDescent="0.3">
      <c r="A663" t="s">
        <v>767</v>
      </c>
      <c r="B663" t="s">
        <v>769</v>
      </c>
      <c r="C663" s="23">
        <v>35.490614000000001</v>
      </c>
      <c r="D663" s="23">
        <v>48.448943999999997</v>
      </c>
    </row>
    <row r="664" spans="1:4" x14ac:dyDescent="0.3">
      <c r="A664" t="s">
        <v>767</v>
      </c>
      <c r="B664" t="s">
        <v>770</v>
      </c>
      <c r="C664" s="24">
        <v>35.206879999999998</v>
      </c>
      <c r="D664" s="24">
        <v>48.72269</v>
      </c>
    </row>
    <row r="665" spans="1:4" x14ac:dyDescent="0.3">
      <c r="A665" t="s">
        <v>767</v>
      </c>
      <c r="B665" t="s">
        <v>771</v>
      </c>
      <c r="C665" s="24">
        <v>34.599460000000001</v>
      </c>
      <c r="D665" s="24">
        <v>48.443350000000002</v>
      </c>
    </row>
    <row r="666" spans="1:4" x14ac:dyDescent="0.3">
      <c r="A666" t="s">
        <v>767</v>
      </c>
      <c r="B666" t="s">
        <v>772</v>
      </c>
      <c r="C666" s="24">
        <v>34.488349999999997</v>
      </c>
      <c r="D666" s="23">
        <v>48.289118999999999</v>
      </c>
    </row>
    <row r="667" spans="1:4" x14ac:dyDescent="0.3">
      <c r="A667" t="s">
        <v>767</v>
      </c>
      <c r="B667" t="s">
        <v>773</v>
      </c>
      <c r="C667" s="24">
        <v>34.798740000000002</v>
      </c>
      <c r="D667" s="24">
        <v>48.514870000000002</v>
      </c>
    </row>
    <row r="668" spans="1:4" x14ac:dyDescent="0.3">
      <c r="A668" t="s">
        <v>767</v>
      </c>
      <c r="B668" t="s">
        <v>774</v>
      </c>
      <c r="C668" s="24">
        <v>34.783250000000002</v>
      </c>
      <c r="D668" s="24">
        <v>48.125140000000002</v>
      </c>
    </row>
    <row r="669" spans="1:4" x14ac:dyDescent="0.3">
      <c r="A669" t="s">
        <v>767</v>
      </c>
      <c r="B669" t="s">
        <v>775</v>
      </c>
      <c r="C669" s="24">
        <v>35.444270000000003</v>
      </c>
      <c r="D669" s="24">
        <v>48.822490000000002</v>
      </c>
    </row>
    <row r="670" spans="1:4" x14ac:dyDescent="0.3">
      <c r="A670" t="s">
        <v>767</v>
      </c>
      <c r="B670" t="s">
        <v>776</v>
      </c>
      <c r="C670" s="25">
        <v>34.902700000000003</v>
      </c>
      <c r="D670" s="24">
        <v>48.44247</v>
      </c>
    </row>
    <row r="671" spans="1:4" x14ac:dyDescent="0.3">
      <c r="A671" t="s">
        <v>767</v>
      </c>
      <c r="B671" t="s">
        <v>777</v>
      </c>
      <c r="C671" s="24">
        <v>34.301189999999998</v>
      </c>
      <c r="D671" s="24">
        <v>48.816110000000002</v>
      </c>
    </row>
    <row r="672" spans="1:4" x14ac:dyDescent="0.3">
      <c r="A672" t="s">
        <v>767</v>
      </c>
      <c r="B672" t="s">
        <v>778</v>
      </c>
      <c r="C672" s="23">
        <v>34.432563999999999</v>
      </c>
      <c r="D672" s="23">
        <v>48.683461000000001</v>
      </c>
    </row>
    <row r="673" spans="1:4" x14ac:dyDescent="0.3">
      <c r="A673" t="s">
        <v>767</v>
      </c>
      <c r="B673" t="s">
        <v>779</v>
      </c>
      <c r="C673" s="24">
        <v>34.208240000000004</v>
      </c>
      <c r="D673" s="24">
        <v>48.705950000000001</v>
      </c>
    </row>
    <row r="674" spans="1:4" x14ac:dyDescent="0.3">
      <c r="A674" t="s">
        <v>767</v>
      </c>
      <c r="B674" t="s">
        <v>780</v>
      </c>
      <c r="C674" s="24">
        <v>35.116579999999999</v>
      </c>
      <c r="D674" s="24">
        <v>48.97166</v>
      </c>
    </row>
    <row r="675" spans="1:4" x14ac:dyDescent="0.3">
      <c r="A675" t="s">
        <v>767</v>
      </c>
      <c r="B675" t="s">
        <v>781</v>
      </c>
      <c r="C675" s="24">
        <v>34.974980000000002</v>
      </c>
      <c r="D675" s="24">
        <v>48.478270000000002</v>
      </c>
    </row>
    <row r="676" spans="1:4" x14ac:dyDescent="0.3">
      <c r="A676" t="s">
        <v>767</v>
      </c>
      <c r="B676" t="s">
        <v>782</v>
      </c>
      <c r="C676" s="23">
        <v>34.152096999999998</v>
      </c>
      <c r="D676" s="24">
        <v>49.010950000000001</v>
      </c>
    </row>
    <row r="677" spans="1:4" x14ac:dyDescent="0.3">
      <c r="A677" t="s">
        <v>767</v>
      </c>
      <c r="B677" t="s">
        <v>783</v>
      </c>
      <c r="C677" s="23">
        <v>34.175832999999997</v>
      </c>
      <c r="D677" s="23">
        <v>48.244166999999997</v>
      </c>
    </row>
    <row r="678" spans="1:4" x14ac:dyDescent="0.3">
      <c r="A678" t="s">
        <v>767</v>
      </c>
      <c r="B678" t="s">
        <v>784</v>
      </c>
      <c r="C678" s="24">
        <v>34.503619999999998</v>
      </c>
      <c r="D678" s="24">
        <v>48.688519999999997</v>
      </c>
    </row>
    <row r="679" spans="1:4" x14ac:dyDescent="0.3">
      <c r="A679" t="s">
        <v>767</v>
      </c>
      <c r="B679" t="s">
        <v>785</v>
      </c>
      <c r="C679" s="23">
        <v>34.360346999999997</v>
      </c>
      <c r="D679" s="23">
        <v>48.114263999999999</v>
      </c>
    </row>
    <row r="680" spans="1:4" x14ac:dyDescent="0.3">
      <c r="A680" t="s">
        <v>767</v>
      </c>
      <c r="B680" t="s">
        <v>786</v>
      </c>
      <c r="C680" s="24">
        <v>35.385770000000001</v>
      </c>
      <c r="D680" s="24">
        <v>49.033149999999999</v>
      </c>
    </row>
    <row r="681" spans="1:4" x14ac:dyDescent="0.3">
      <c r="A681" t="s">
        <v>767</v>
      </c>
      <c r="B681" t="s">
        <v>787</v>
      </c>
      <c r="C681" s="24">
        <v>34.827570000000001</v>
      </c>
      <c r="D681" s="24">
        <v>48.458730000000003</v>
      </c>
    </row>
    <row r="682" spans="1:4" x14ac:dyDescent="0.3">
      <c r="A682" t="s">
        <v>767</v>
      </c>
      <c r="B682" t="s">
        <v>788</v>
      </c>
      <c r="C682" s="23">
        <v>34.887388999999999</v>
      </c>
      <c r="D682" s="23">
        <v>48.554861000000002</v>
      </c>
    </row>
    <row r="683" spans="1:4" x14ac:dyDescent="0.3">
      <c r="A683" t="s">
        <v>767</v>
      </c>
      <c r="B683" t="s">
        <v>789</v>
      </c>
      <c r="C683" s="24">
        <v>34.553220000000003</v>
      </c>
      <c r="D683" s="24">
        <v>48.443890000000003</v>
      </c>
    </row>
    <row r="684" spans="1:4" x14ac:dyDescent="0.3">
      <c r="A684" t="s">
        <v>767</v>
      </c>
      <c r="B684" t="s">
        <v>790</v>
      </c>
      <c r="C684" s="24">
        <v>34.858939999999997</v>
      </c>
      <c r="D684" s="24">
        <v>49.002279999999999</v>
      </c>
    </row>
    <row r="685" spans="1:4" x14ac:dyDescent="0.3">
      <c r="A685" t="s">
        <v>767</v>
      </c>
      <c r="B685" t="s">
        <v>791</v>
      </c>
      <c r="C685" s="24">
        <v>34.189259999999997</v>
      </c>
      <c r="D685" s="24">
        <v>48.371459999999999</v>
      </c>
    </row>
    <row r="686" spans="1:4" x14ac:dyDescent="0.3">
      <c r="A686" t="s">
        <v>767</v>
      </c>
      <c r="B686" t="s">
        <v>792</v>
      </c>
      <c r="C686" s="23">
        <v>35.217511000000002</v>
      </c>
      <c r="D686" s="23">
        <v>48.207261000000003</v>
      </c>
    </row>
    <row r="687" spans="1:4" x14ac:dyDescent="0.3">
      <c r="A687" t="s">
        <v>793</v>
      </c>
      <c r="B687" t="s">
        <v>794</v>
      </c>
      <c r="C687" s="24">
        <v>32.319319999999998</v>
      </c>
      <c r="D687" s="24">
        <v>54.026209999999999</v>
      </c>
    </row>
    <row r="688" spans="1:4" x14ac:dyDescent="0.3">
      <c r="A688" t="s">
        <v>793</v>
      </c>
      <c r="B688" t="s">
        <v>795</v>
      </c>
      <c r="C688" s="24">
        <v>33.596110000000003</v>
      </c>
      <c r="D688" s="24">
        <v>56.928080000000001</v>
      </c>
    </row>
    <row r="689" spans="1:4" x14ac:dyDescent="0.3">
      <c r="A689" t="s">
        <v>793</v>
      </c>
      <c r="B689" t="s">
        <v>796</v>
      </c>
      <c r="C689" s="24">
        <v>34.368729999999999</v>
      </c>
      <c r="D689" s="24">
        <v>56.928420000000003</v>
      </c>
    </row>
    <row r="690" spans="1:4" x14ac:dyDescent="0.3">
      <c r="A690" t="s">
        <v>793</v>
      </c>
      <c r="B690" t="s">
        <v>796</v>
      </c>
      <c r="C690" s="25">
        <v>36.046199999999999</v>
      </c>
      <c r="D690" s="25">
        <v>58.686599999999999</v>
      </c>
    </row>
    <row r="691" spans="1:4" x14ac:dyDescent="0.3">
      <c r="A691" t="s">
        <v>793</v>
      </c>
      <c r="B691" t="s">
        <v>797</v>
      </c>
      <c r="C691" s="23">
        <v>31.837596999999999</v>
      </c>
      <c r="D691" s="23">
        <v>54.378297000000003</v>
      </c>
    </row>
    <row r="692" spans="1:4" x14ac:dyDescent="0.3">
      <c r="A692" t="s">
        <v>793</v>
      </c>
      <c r="B692" t="s">
        <v>798</v>
      </c>
      <c r="C692" s="23">
        <v>31.752185999999998</v>
      </c>
      <c r="D692" s="23">
        <v>54.217410999999998</v>
      </c>
    </row>
    <row r="693" spans="1:4" x14ac:dyDescent="0.3">
      <c r="A693" t="s">
        <v>793</v>
      </c>
      <c r="B693" t="s">
        <v>799</v>
      </c>
      <c r="C693" s="24">
        <v>30.476240000000001</v>
      </c>
      <c r="D693" s="24">
        <v>54.209519999999998</v>
      </c>
    </row>
    <row r="694" spans="1:4" x14ac:dyDescent="0.3">
      <c r="A694" t="s">
        <v>793</v>
      </c>
      <c r="B694" t="s">
        <v>800</v>
      </c>
      <c r="C694" s="24">
        <v>32.003149999999998</v>
      </c>
      <c r="D694" s="24">
        <v>54.202570000000001</v>
      </c>
    </row>
    <row r="695" spans="1:4" x14ac:dyDescent="0.3">
      <c r="A695" t="s">
        <v>793</v>
      </c>
      <c r="B695" t="s">
        <v>801</v>
      </c>
      <c r="C695" s="24">
        <v>31.129339999999999</v>
      </c>
      <c r="D695" s="24">
        <v>53.283169999999998</v>
      </c>
    </row>
    <row r="696" spans="1:4" x14ac:dyDescent="0.3">
      <c r="A696" t="s">
        <v>793</v>
      </c>
      <c r="B696" t="s">
        <v>802</v>
      </c>
      <c r="C696" s="23">
        <v>32.025635999999999</v>
      </c>
      <c r="D696" s="24">
        <v>53.548549999999999</v>
      </c>
    </row>
    <row r="697" spans="1:4" x14ac:dyDescent="0.3">
      <c r="A697" t="s">
        <v>793</v>
      </c>
      <c r="B697" t="s">
        <v>794</v>
      </c>
      <c r="C697" s="27">
        <v>30.25</v>
      </c>
      <c r="D697" s="23">
        <v>51.979931000000001</v>
      </c>
    </row>
    <row r="698" spans="1:4" x14ac:dyDescent="0.3">
      <c r="A698" t="s">
        <v>793</v>
      </c>
      <c r="B698" t="s">
        <v>803</v>
      </c>
      <c r="C698" s="24">
        <v>32.231140000000003</v>
      </c>
      <c r="D698" s="24">
        <v>54.022390000000001</v>
      </c>
    </row>
    <row r="699" spans="1:4" x14ac:dyDescent="0.3">
      <c r="A699" t="s">
        <v>793</v>
      </c>
      <c r="B699" t="s">
        <v>804</v>
      </c>
      <c r="C699" s="23">
        <v>33.294117</v>
      </c>
      <c r="D699" s="23">
        <v>57.510869</v>
      </c>
    </row>
    <row r="700" spans="1:4" x14ac:dyDescent="0.3">
      <c r="A700" t="s">
        <v>793</v>
      </c>
      <c r="B700" t="s">
        <v>805</v>
      </c>
      <c r="C700" s="25">
        <v>31.9498</v>
      </c>
      <c r="D700" s="25">
        <v>54.280099999999997</v>
      </c>
    </row>
    <row r="701" spans="1:4" x14ac:dyDescent="0.3">
      <c r="A701" t="s">
        <v>793</v>
      </c>
      <c r="B701" t="s">
        <v>806</v>
      </c>
      <c r="C701" s="23">
        <v>32.440277999999999</v>
      </c>
      <c r="D701" s="23">
        <v>53.625556000000003</v>
      </c>
    </row>
    <row r="702" spans="1:4" x14ac:dyDescent="0.3">
      <c r="A702" t="s">
        <v>793</v>
      </c>
      <c r="B702" t="s">
        <v>807</v>
      </c>
      <c r="C702" s="23">
        <v>31.583631</v>
      </c>
      <c r="D702" s="23">
        <v>54.445669000000002</v>
      </c>
    </row>
    <row r="703" spans="1:4" x14ac:dyDescent="0.3">
      <c r="A703" t="s">
        <v>793</v>
      </c>
      <c r="B703" t="s">
        <v>808</v>
      </c>
      <c r="C703" s="24">
        <v>31.023009999999999</v>
      </c>
      <c r="D703" s="24">
        <v>53.355249999999998</v>
      </c>
    </row>
    <row r="704" spans="1:4" x14ac:dyDescent="0.3">
      <c r="A704" t="s">
        <v>793</v>
      </c>
      <c r="B704" t="s">
        <v>809</v>
      </c>
      <c r="C704" s="24">
        <v>30.058540000000001</v>
      </c>
      <c r="D704" s="24">
        <v>54.367280000000001</v>
      </c>
    </row>
    <row r="705" spans="1:4" x14ac:dyDescent="0.3">
      <c r="A705" t="s">
        <v>793</v>
      </c>
      <c r="B705" t="s">
        <v>810</v>
      </c>
      <c r="C705" s="23">
        <v>31.602868999999998</v>
      </c>
      <c r="D705" s="24">
        <v>55.397849999999998</v>
      </c>
    </row>
    <row r="706" spans="1:4" x14ac:dyDescent="0.3">
      <c r="A706" t="s">
        <v>793</v>
      </c>
      <c r="B706" t="s">
        <v>811</v>
      </c>
      <c r="C706" s="24">
        <v>31.876909999999999</v>
      </c>
      <c r="D706" s="25">
        <v>56.020400000000002</v>
      </c>
    </row>
    <row r="707" spans="1:4" x14ac:dyDescent="0.3">
      <c r="A707" t="s">
        <v>793</v>
      </c>
      <c r="B707" t="s">
        <v>812</v>
      </c>
      <c r="C707" s="25">
        <v>31.990300000000001</v>
      </c>
      <c r="D707" s="23">
        <v>54.231788999999999</v>
      </c>
    </row>
    <row r="708" spans="1:4" x14ac:dyDescent="0.3">
      <c r="A708" t="s">
        <v>793</v>
      </c>
      <c r="B708" t="s">
        <v>813</v>
      </c>
      <c r="C708" s="23">
        <v>31.865714000000001</v>
      </c>
      <c r="D708" s="23">
        <v>53.952413999999997</v>
      </c>
    </row>
    <row r="709" spans="1:4" x14ac:dyDescent="0.3">
      <c r="A709" t="s">
        <v>793</v>
      </c>
      <c r="B709" t="s">
        <v>814</v>
      </c>
      <c r="C709" s="24">
        <v>32.354109999999999</v>
      </c>
      <c r="D709" s="24">
        <v>53.991520000000001</v>
      </c>
    </row>
    <row r="710" spans="1:4" x14ac:dyDescent="0.3">
      <c r="A710" t="s">
        <v>793</v>
      </c>
      <c r="B710" t="s">
        <v>815</v>
      </c>
      <c r="C710" s="24">
        <v>31.895820000000001</v>
      </c>
      <c r="D710" s="24">
        <v>54.367870000000003</v>
      </c>
    </row>
    <row r="711" spans="1:4" x14ac:dyDescent="0.3">
      <c r="A711" t="s">
        <v>816</v>
      </c>
      <c r="B711" t="s">
        <v>817</v>
      </c>
      <c r="C711" s="23">
        <v>34.385742</v>
      </c>
      <c r="D711" s="26">
        <v>47.439</v>
      </c>
    </row>
    <row r="712" spans="1:4" x14ac:dyDescent="0.3">
      <c r="A712" t="s">
        <v>720</v>
      </c>
      <c r="B712" t="s">
        <v>818</v>
      </c>
      <c r="C712" s="25">
        <v>37.582799999999999</v>
      </c>
      <c r="D712" s="23">
        <v>49.086202999999998</v>
      </c>
    </row>
    <row r="713" spans="1:4" x14ac:dyDescent="0.3">
      <c r="A713" t="s">
        <v>819</v>
      </c>
      <c r="B713" t="s">
        <v>820</v>
      </c>
      <c r="C713" s="23">
        <v>33.650739000000002</v>
      </c>
      <c r="D713" s="25">
        <v>50.083399999999997</v>
      </c>
    </row>
    <row r="714" spans="1:4" x14ac:dyDescent="0.3">
      <c r="A714" t="s">
        <v>233</v>
      </c>
      <c r="B714" t="s">
        <v>821</v>
      </c>
      <c r="C714" s="23">
        <v>37.840857999999997</v>
      </c>
      <c r="D714" s="23">
        <v>46.831674999999997</v>
      </c>
    </row>
    <row r="715" spans="1:4" x14ac:dyDescent="0.3">
      <c r="A715" t="s">
        <v>437</v>
      </c>
      <c r="B715" t="s">
        <v>822</v>
      </c>
      <c r="C715" s="23">
        <v>32.330368999999997</v>
      </c>
      <c r="D715" s="25">
        <v>49.092199999999998</v>
      </c>
    </row>
    <row r="716" spans="1:4" x14ac:dyDescent="0.3">
      <c r="A716" t="s">
        <v>823</v>
      </c>
      <c r="B716" t="s">
        <v>824</v>
      </c>
      <c r="C716" s="23">
        <v>36.834510999999999</v>
      </c>
      <c r="D716" s="23">
        <v>46.353068999999998</v>
      </c>
    </row>
    <row r="717" spans="1:4" x14ac:dyDescent="0.3">
      <c r="A717" t="s">
        <v>233</v>
      </c>
      <c r="B717" t="s">
        <v>825</v>
      </c>
      <c r="C717" s="23">
        <v>37.391986000000003</v>
      </c>
      <c r="D717" s="23">
        <v>46.238357999999998</v>
      </c>
    </row>
    <row r="718" spans="1:4" x14ac:dyDescent="0.3">
      <c r="A718" t="s">
        <v>819</v>
      </c>
      <c r="B718" t="s">
        <v>826</v>
      </c>
      <c r="C718" s="24">
        <v>34.720880000000001</v>
      </c>
      <c r="D718" s="24">
        <v>49.322369999999999</v>
      </c>
    </row>
    <row r="719" spans="1:4" x14ac:dyDescent="0.3">
      <c r="A719" t="s">
        <v>720</v>
      </c>
      <c r="B719" t="s">
        <v>827</v>
      </c>
      <c r="C719" s="23">
        <v>37.407586000000002</v>
      </c>
      <c r="D719" s="23">
        <v>49.119157999999999</v>
      </c>
    </row>
    <row r="720" spans="1:4" x14ac:dyDescent="0.3">
      <c r="A720" t="s">
        <v>823</v>
      </c>
      <c r="B720" t="s">
        <v>828</v>
      </c>
      <c r="C720" s="23">
        <v>36.983716999999999</v>
      </c>
      <c r="D720" s="23">
        <v>45.145864000000003</v>
      </c>
    </row>
    <row r="721" spans="1:4" x14ac:dyDescent="0.3">
      <c r="A721" t="s">
        <v>720</v>
      </c>
      <c r="B721" t="s">
        <v>829</v>
      </c>
      <c r="C721" s="23">
        <v>36.746260999999997</v>
      </c>
      <c r="D721" s="23">
        <v>49.397319000000003</v>
      </c>
    </row>
    <row r="722" spans="1:4" x14ac:dyDescent="0.3">
      <c r="A722" t="s">
        <v>819</v>
      </c>
      <c r="B722" t="s">
        <v>830</v>
      </c>
      <c r="C722" s="23">
        <v>34.391841999999997</v>
      </c>
      <c r="D722" s="23">
        <v>49.185066999999997</v>
      </c>
    </row>
    <row r="723" spans="1:4" x14ac:dyDescent="0.3">
      <c r="A723" t="s">
        <v>819</v>
      </c>
      <c r="B723" t="s">
        <v>831</v>
      </c>
      <c r="C723" s="24">
        <v>33.928959999999996</v>
      </c>
      <c r="D723" s="24">
        <v>49.406950000000002</v>
      </c>
    </row>
    <row r="724" spans="1:4" x14ac:dyDescent="0.3">
      <c r="A724" t="s">
        <v>745</v>
      </c>
      <c r="B724" t="s">
        <v>832</v>
      </c>
      <c r="C724" s="23">
        <v>36.639527999999999</v>
      </c>
      <c r="D724" s="23">
        <v>52.633175000000001</v>
      </c>
    </row>
    <row r="725" spans="1:4" x14ac:dyDescent="0.3">
      <c r="A725" t="s">
        <v>233</v>
      </c>
      <c r="B725" t="s">
        <v>833</v>
      </c>
      <c r="C725" s="24">
        <v>37.351349999999996</v>
      </c>
      <c r="D725" s="23">
        <v>46.764043999999998</v>
      </c>
    </row>
    <row r="726" spans="1:4" x14ac:dyDescent="0.3">
      <c r="A726" t="s">
        <v>437</v>
      </c>
      <c r="B726" t="s">
        <v>834</v>
      </c>
      <c r="C726" s="23">
        <v>30.596571999999998</v>
      </c>
      <c r="D726" s="23">
        <v>50.240372000000001</v>
      </c>
    </row>
    <row r="727" spans="1:4" x14ac:dyDescent="0.3">
      <c r="A727" t="s">
        <v>233</v>
      </c>
      <c r="B727" t="s">
        <v>835</v>
      </c>
      <c r="C727" s="23">
        <v>38.938225000000003</v>
      </c>
      <c r="D727" s="23">
        <v>45.627068999999999</v>
      </c>
    </row>
    <row r="728" spans="1:4" x14ac:dyDescent="0.3">
      <c r="A728" t="s">
        <v>819</v>
      </c>
      <c r="B728" t="s">
        <v>836</v>
      </c>
      <c r="C728" s="25">
        <v>34.5229</v>
      </c>
      <c r="D728" s="24">
        <v>50.004010000000001</v>
      </c>
    </row>
    <row r="729" spans="1:4" x14ac:dyDescent="0.3">
      <c r="A729" t="s">
        <v>233</v>
      </c>
      <c r="B729" t="s">
        <v>837</v>
      </c>
      <c r="C729" s="24">
        <v>38.282040000000002</v>
      </c>
      <c r="D729" s="24">
        <v>45.980670000000003</v>
      </c>
    </row>
    <row r="730" spans="1:4" x14ac:dyDescent="0.3">
      <c r="A730" t="s">
        <v>720</v>
      </c>
      <c r="B730" t="s">
        <v>838</v>
      </c>
      <c r="C730" s="24">
        <v>37.095689999999998</v>
      </c>
      <c r="D730" s="24">
        <v>50.18479</v>
      </c>
    </row>
    <row r="731" spans="1:4" x14ac:dyDescent="0.3">
      <c r="A731" t="s">
        <v>233</v>
      </c>
      <c r="B731" t="s">
        <v>839</v>
      </c>
      <c r="C731" s="23">
        <v>38.428030999999997</v>
      </c>
      <c r="D731" s="23">
        <v>45.907080999999998</v>
      </c>
    </row>
    <row r="732" spans="1:4" x14ac:dyDescent="0.3">
      <c r="A732" t="s">
        <v>816</v>
      </c>
      <c r="B732" t="s">
        <v>840</v>
      </c>
      <c r="C732" s="23">
        <v>34.324486999999998</v>
      </c>
      <c r="D732" s="23">
        <v>47.073166999999998</v>
      </c>
    </row>
    <row r="733" spans="1:4" x14ac:dyDescent="0.3">
      <c r="A733" t="s">
        <v>816</v>
      </c>
      <c r="B733" t="s">
        <v>841</v>
      </c>
      <c r="C733" s="23">
        <v>34.276491999999998</v>
      </c>
      <c r="D733" s="23">
        <v>47.586111000000002</v>
      </c>
    </row>
    <row r="734" spans="1:4" x14ac:dyDescent="0.3">
      <c r="A734" t="s">
        <v>233</v>
      </c>
      <c r="B734" t="s">
        <v>842</v>
      </c>
      <c r="C734" s="23">
        <v>38.865647000000003</v>
      </c>
      <c r="D734" s="23">
        <v>47.042717000000003</v>
      </c>
    </row>
    <row r="735" spans="1:4" x14ac:dyDescent="0.3">
      <c r="A735" t="s">
        <v>816</v>
      </c>
      <c r="B735" t="s">
        <v>843</v>
      </c>
      <c r="C735" s="23">
        <v>34.716313999999997</v>
      </c>
      <c r="D735" s="23">
        <v>46.666583000000003</v>
      </c>
    </row>
    <row r="736" spans="1:4" x14ac:dyDescent="0.3">
      <c r="A736" t="s">
        <v>361</v>
      </c>
      <c r="B736" t="s">
        <v>844</v>
      </c>
      <c r="C736" s="23">
        <v>35.547238999999998</v>
      </c>
      <c r="D736" s="23">
        <v>59.196289</v>
      </c>
    </row>
    <row r="737" spans="1:4" x14ac:dyDescent="0.3">
      <c r="A737" t="s">
        <v>720</v>
      </c>
      <c r="B737" t="s">
        <v>845</v>
      </c>
      <c r="C737" s="23">
        <v>37.164869000000003</v>
      </c>
      <c r="D737" s="23">
        <v>49.412061000000001</v>
      </c>
    </row>
    <row r="738" spans="1:4" x14ac:dyDescent="0.3">
      <c r="A738" t="s">
        <v>745</v>
      </c>
      <c r="B738" t="s">
        <v>846</v>
      </c>
      <c r="C738" s="23">
        <v>36.665928000000001</v>
      </c>
      <c r="D738" s="23">
        <v>52.762130999999997</v>
      </c>
    </row>
    <row r="739" spans="1:4" x14ac:dyDescent="0.3">
      <c r="A739" t="s">
        <v>745</v>
      </c>
      <c r="B739" t="s">
        <v>847</v>
      </c>
      <c r="C739" s="23">
        <v>36.242364000000002</v>
      </c>
      <c r="D739" s="23">
        <v>53.539633000000002</v>
      </c>
    </row>
    <row r="740" spans="1:4" x14ac:dyDescent="0.3">
      <c r="A740" t="s">
        <v>819</v>
      </c>
      <c r="B740" t="s">
        <v>848</v>
      </c>
      <c r="C740" s="23">
        <v>33.914881000000001</v>
      </c>
      <c r="D740" s="24">
        <v>50.455219999999997</v>
      </c>
    </row>
    <row r="741" spans="1:4" x14ac:dyDescent="0.3">
      <c r="A741" t="s">
        <v>720</v>
      </c>
      <c r="B741" t="s">
        <v>849</v>
      </c>
      <c r="C741" s="23">
        <v>36.897761000000003</v>
      </c>
      <c r="D741" s="28">
        <v>49.5</v>
      </c>
    </row>
    <row r="742" spans="1:4" x14ac:dyDescent="0.3">
      <c r="A742" t="s">
        <v>720</v>
      </c>
      <c r="B742" t="s">
        <v>850</v>
      </c>
      <c r="C742" s="23">
        <v>38.308380999999997</v>
      </c>
      <c r="D742" s="23">
        <v>48.869244000000002</v>
      </c>
    </row>
    <row r="743" spans="1:4" x14ac:dyDescent="0.3">
      <c r="A743" t="s">
        <v>260</v>
      </c>
      <c r="B743" t="s">
        <v>851</v>
      </c>
      <c r="C743" s="23">
        <v>35.799610999999999</v>
      </c>
      <c r="D743" s="26">
        <v>51.445999999999998</v>
      </c>
    </row>
    <row r="744" spans="1:4" x14ac:dyDescent="0.3">
      <c r="A744" t="s">
        <v>819</v>
      </c>
      <c r="B744" t="s">
        <v>852</v>
      </c>
      <c r="C744" s="23">
        <v>34.049788999999997</v>
      </c>
      <c r="D744" s="23">
        <v>49.430630999999998</v>
      </c>
    </row>
    <row r="745" spans="1:4" x14ac:dyDescent="0.3">
      <c r="A745" t="s">
        <v>233</v>
      </c>
      <c r="B745" t="s">
        <v>853</v>
      </c>
      <c r="C745" s="24">
        <v>38.508710000000001</v>
      </c>
      <c r="D745" s="25">
        <v>46.646500000000003</v>
      </c>
    </row>
    <row r="746" spans="1:4" x14ac:dyDescent="0.3">
      <c r="A746" t="s">
        <v>233</v>
      </c>
      <c r="B746" t="s">
        <v>854</v>
      </c>
      <c r="C746" s="24">
        <v>38.09469</v>
      </c>
      <c r="D746" s="24">
        <v>47.082909999999998</v>
      </c>
    </row>
    <row r="747" spans="1:4" x14ac:dyDescent="0.3">
      <c r="A747" t="s">
        <v>437</v>
      </c>
      <c r="B747" t="s">
        <v>855</v>
      </c>
      <c r="C747" s="23">
        <v>31.709641999999999</v>
      </c>
      <c r="D747" s="23">
        <v>50.289647000000002</v>
      </c>
    </row>
    <row r="748" spans="1:4" x14ac:dyDescent="0.3">
      <c r="A748" t="s">
        <v>233</v>
      </c>
      <c r="B748" t="s">
        <v>856</v>
      </c>
      <c r="C748" s="24">
        <v>38.251649999999998</v>
      </c>
      <c r="D748" s="24">
        <v>47.11544</v>
      </c>
    </row>
    <row r="749" spans="1:4" x14ac:dyDescent="0.3">
      <c r="A749" t="s">
        <v>816</v>
      </c>
      <c r="B749" t="s">
        <v>857</v>
      </c>
      <c r="C749" s="23">
        <v>34.464982999999997</v>
      </c>
      <c r="D749" s="24">
        <v>45.863950000000003</v>
      </c>
    </row>
    <row r="750" spans="1:4" x14ac:dyDescent="0.3">
      <c r="A750" t="s">
        <v>747</v>
      </c>
      <c r="B750" t="s">
        <v>858</v>
      </c>
      <c r="C750" s="23">
        <v>26.558339</v>
      </c>
      <c r="D750" s="23">
        <v>54.878942000000002</v>
      </c>
    </row>
    <row r="751" spans="1:4" x14ac:dyDescent="0.3">
      <c r="A751" t="s">
        <v>699</v>
      </c>
      <c r="B751" t="s">
        <v>859</v>
      </c>
      <c r="C751" s="24">
        <v>36.781550000000003</v>
      </c>
      <c r="D751" s="23">
        <v>53.938256000000003</v>
      </c>
    </row>
    <row r="752" spans="1:4" x14ac:dyDescent="0.3">
      <c r="A752" t="s">
        <v>233</v>
      </c>
      <c r="B752" t="s">
        <v>860</v>
      </c>
      <c r="C752" s="27">
        <v>37.950000000000003</v>
      </c>
      <c r="D752" s="23">
        <v>47.116661000000001</v>
      </c>
    </row>
    <row r="753" spans="1:4" x14ac:dyDescent="0.3">
      <c r="A753" t="s">
        <v>720</v>
      </c>
      <c r="B753" t="s">
        <v>861</v>
      </c>
      <c r="C753" s="23">
        <v>37.363644000000001</v>
      </c>
      <c r="D753" s="23">
        <v>49.132891999999998</v>
      </c>
    </row>
    <row r="754" spans="1:4" x14ac:dyDescent="0.3">
      <c r="B754" t="s">
        <v>862</v>
      </c>
      <c r="C754" s="23">
        <v>35.363633</v>
      </c>
      <c r="D754" s="23">
        <v>50.679889000000003</v>
      </c>
    </row>
    <row r="755" spans="1:4" x14ac:dyDescent="0.3">
      <c r="B755" t="s">
        <v>863</v>
      </c>
      <c r="C755" s="23">
        <v>36.595528000000002</v>
      </c>
      <c r="D755" s="23">
        <v>52.657882999999998</v>
      </c>
    </row>
    <row r="756" spans="1:4" x14ac:dyDescent="0.3">
      <c r="B756" t="s">
        <v>864</v>
      </c>
      <c r="C756" s="23">
        <v>37.252431000000001</v>
      </c>
      <c r="D756" s="23">
        <v>55.167513999999997</v>
      </c>
    </row>
    <row r="757" spans="1:4" x14ac:dyDescent="0.3">
      <c r="B757" t="s">
        <v>865</v>
      </c>
      <c r="C757" s="23">
        <v>36.176060999999997</v>
      </c>
      <c r="D757" s="25">
        <v>52.976799999999997</v>
      </c>
    </row>
    <row r="758" spans="1:4" x14ac:dyDescent="0.3">
      <c r="B758" t="s">
        <v>866</v>
      </c>
      <c r="C758" s="23">
        <v>38.719911000000003</v>
      </c>
      <c r="D758" s="23">
        <v>45.216931000000002</v>
      </c>
    </row>
    <row r="759" spans="1:4" x14ac:dyDescent="0.3">
      <c r="B759" t="s">
        <v>867</v>
      </c>
      <c r="C759" s="23">
        <v>34.493380999999999</v>
      </c>
      <c r="D759" s="23">
        <v>46.599243999999999</v>
      </c>
    </row>
    <row r="760" spans="1:4" x14ac:dyDescent="0.3">
      <c r="B760" t="s">
        <v>868</v>
      </c>
      <c r="C760" s="28">
        <v>36.6</v>
      </c>
      <c r="D760" s="23">
        <v>52.134166999999998</v>
      </c>
    </row>
    <row r="761" spans="1:4" x14ac:dyDescent="0.3">
      <c r="B761" t="s">
        <v>869</v>
      </c>
      <c r="C761" s="23">
        <v>30.469968999999999</v>
      </c>
      <c r="D761" s="23">
        <v>49.678531</v>
      </c>
    </row>
    <row r="762" spans="1:4" x14ac:dyDescent="0.3">
      <c r="B762" t="s">
        <v>870</v>
      </c>
      <c r="C762" s="23">
        <v>30.747385999999999</v>
      </c>
      <c r="D762" s="23">
        <v>56.731689000000003</v>
      </c>
    </row>
    <row r="763" spans="1:4" x14ac:dyDescent="0.3">
      <c r="B763" t="s">
        <v>871</v>
      </c>
      <c r="C763" s="23">
        <v>38.840294</v>
      </c>
      <c r="D763" s="23">
        <v>45.661681000000002</v>
      </c>
    </row>
    <row r="764" spans="1:4" x14ac:dyDescent="0.3">
      <c r="B764" t="s">
        <v>872</v>
      </c>
      <c r="C764" s="23">
        <v>36.307408000000002</v>
      </c>
      <c r="D764" s="23">
        <v>52.627668999999997</v>
      </c>
    </row>
    <row r="765" spans="1:4" x14ac:dyDescent="0.3">
      <c r="B765" t="s">
        <v>873</v>
      </c>
      <c r="C765" s="24">
        <v>37.031509999999997</v>
      </c>
      <c r="D765" s="25">
        <v>50.325600000000001</v>
      </c>
    </row>
    <row r="766" spans="1:4" x14ac:dyDescent="0.3">
      <c r="B766" t="s">
        <v>874</v>
      </c>
      <c r="C766" s="23">
        <v>39.062413999999997</v>
      </c>
      <c r="D766" s="23">
        <v>44.380803</v>
      </c>
    </row>
    <row r="767" spans="1:4" x14ac:dyDescent="0.3">
      <c r="B767" t="s">
        <v>875</v>
      </c>
      <c r="C767" s="23">
        <v>36.463780999999997</v>
      </c>
      <c r="D767" s="23">
        <v>52.857416999999998</v>
      </c>
    </row>
    <row r="768" spans="1:4" x14ac:dyDescent="0.3">
      <c r="B768" t="s">
        <v>876</v>
      </c>
      <c r="C768" s="23">
        <v>32.227631000000002</v>
      </c>
      <c r="D768" s="23">
        <v>48.424782999999998</v>
      </c>
    </row>
    <row r="769" spans="2:4" x14ac:dyDescent="0.3">
      <c r="B769" t="s">
        <v>877</v>
      </c>
      <c r="C769" s="23">
        <v>36.645569000000002</v>
      </c>
      <c r="D769" s="23">
        <v>53.302830999999998</v>
      </c>
    </row>
    <row r="770" spans="2:4" x14ac:dyDescent="0.3">
      <c r="B770" t="s">
        <v>878</v>
      </c>
      <c r="C770" s="23">
        <v>37.581211000000003</v>
      </c>
      <c r="D770" s="23">
        <v>47.391353000000002</v>
      </c>
    </row>
    <row r="771" spans="2:4" x14ac:dyDescent="0.3">
      <c r="B771" t="s">
        <v>879</v>
      </c>
      <c r="C771" s="23">
        <v>36.965738999999999</v>
      </c>
      <c r="D771" s="23">
        <v>50.565561000000002</v>
      </c>
    </row>
    <row r="772" spans="2:4" x14ac:dyDescent="0.3">
      <c r="B772" t="s">
        <v>880</v>
      </c>
      <c r="C772" s="23">
        <v>37.939086000000003</v>
      </c>
      <c r="D772" s="23">
        <v>47.537258000000001</v>
      </c>
    </row>
    <row r="773" spans="2:4" x14ac:dyDescent="0.3">
      <c r="B773" t="s">
        <v>881</v>
      </c>
      <c r="C773" s="23">
        <v>37.257358000000004</v>
      </c>
      <c r="D773" s="24">
        <v>48.064950000000003</v>
      </c>
    </row>
    <row r="774" spans="2:4" x14ac:dyDescent="0.3">
      <c r="B774" t="s">
        <v>882</v>
      </c>
      <c r="C774" s="23">
        <v>39.293947000000003</v>
      </c>
      <c r="D774" s="23">
        <v>44.452333000000003</v>
      </c>
    </row>
    <row r="775" spans="2:4" x14ac:dyDescent="0.3">
      <c r="B775" t="s">
        <v>883</v>
      </c>
      <c r="C775" s="23">
        <v>36.567774999999997</v>
      </c>
      <c r="D775" s="23">
        <v>52.015481000000001</v>
      </c>
    </row>
    <row r="776" spans="2:4" x14ac:dyDescent="0.3">
      <c r="B776" t="s">
        <v>884</v>
      </c>
      <c r="C776" s="23">
        <v>33.936230999999999</v>
      </c>
      <c r="D776" s="25">
        <v>46.773600000000002</v>
      </c>
    </row>
    <row r="777" spans="2:4" x14ac:dyDescent="0.3">
      <c r="B777" t="s">
        <v>885</v>
      </c>
      <c r="C777" s="24">
        <v>38.000830000000001</v>
      </c>
      <c r="D777" s="24">
        <v>46.478839999999998</v>
      </c>
    </row>
    <row r="778" spans="2:4" x14ac:dyDescent="0.3">
      <c r="B778" t="s">
        <v>886</v>
      </c>
      <c r="C778" s="23">
        <v>30.762219000000002</v>
      </c>
      <c r="D778" s="23">
        <v>49.707461000000002</v>
      </c>
    </row>
    <row r="779" spans="2:4" x14ac:dyDescent="0.3">
      <c r="B779" t="s">
        <v>887</v>
      </c>
      <c r="C779" s="24">
        <v>37.080359999999999</v>
      </c>
      <c r="D779" s="24">
        <v>50.395980000000002</v>
      </c>
    </row>
    <row r="780" spans="2:4" x14ac:dyDescent="0.3">
      <c r="B780" t="s">
        <v>888</v>
      </c>
      <c r="C780" s="24">
        <v>30.326350000000001</v>
      </c>
      <c r="D780" s="23">
        <v>50.217933000000002</v>
      </c>
    </row>
    <row r="781" spans="2:4" x14ac:dyDescent="0.3">
      <c r="B781" t="s">
        <v>889</v>
      </c>
      <c r="C781" s="23">
        <v>26.729261000000001</v>
      </c>
      <c r="D781" s="23">
        <v>54.278719000000002</v>
      </c>
    </row>
    <row r="782" spans="2:4" x14ac:dyDescent="0.3">
      <c r="B782" t="s">
        <v>890</v>
      </c>
      <c r="C782" s="25">
        <v>27.8323</v>
      </c>
      <c r="D782" s="23">
        <v>52.065711</v>
      </c>
    </row>
    <row r="783" spans="2:4" x14ac:dyDescent="0.3">
      <c r="B783" t="s">
        <v>891</v>
      </c>
      <c r="C783" s="23">
        <v>37.762231</v>
      </c>
      <c r="D783" s="23">
        <v>45.977460999999998</v>
      </c>
    </row>
    <row r="784" spans="2:4" x14ac:dyDescent="0.3">
      <c r="B784" t="s">
        <v>892</v>
      </c>
      <c r="C784" s="25">
        <v>34.481400000000001</v>
      </c>
      <c r="D784" s="23">
        <v>47.693280999999999</v>
      </c>
    </row>
    <row r="785" spans="2:4" x14ac:dyDescent="0.3">
      <c r="B785" t="s">
        <v>893</v>
      </c>
      <c r="C785" s="23">
        <v>36.893172</v>
      </c>
      <c r="D785" s="23">
        <v>49.525461</v>
      </c>
    </row>
    <row r="786" spans="2:4" x14ac:dyDescent="0.3">
      <c r="B786" t="s">
        <v>894</v>
      </c>
      <c r="C786" s="25">
        <v>30.3535</v>
      </c>
      <c r="D786" s="26">
        <v>48.197000000000003</v>
      </c>
    </row>
    <row r="787" spans="2:4" x14ac:dyDescent="0.3">
      <c r="B787" t="s">
        <v>895</v>
      </c>
      <c r="C787" s="23">
        <v>34.813068999999999</v>
      </c>
      <c r="D787" s="23">
        <v>47.461686</v>
      </c>
    </row>
    <row r="788" spans="2:4" x14ac:dyDescent="0.3">
      <c r="B788" t="s">
        <v>896</v>
      </c>
      <c r="C788" s="24">
        <v>35.993319999999997</v>
      </c>
      <c r="D788" s="24">
        <v>49.447609999999997</v>
      </c>
    </row>
    <row r="789" spans="2:4" x14ac:dyDescent="0.3">
      <c r="B789" t="s">
        <v>897</v>
      </c>
      <c r="C789" s="23">
        <v>37.950671999999997</v>
      </c>
      <c r="D789" s="23">
        <v>46.051043999999997</v>
      </c>
    </row>
    <row r="790" spans="2:4" x14ac:dyDescent="0.3">
      <c r="B790" t="s">
        <v>898</v>
      </c>
      <c r="C790" s="24">
        <v>37.154719999999998</v>
      </c>
      <c r="D790" s="24">
        <v>49.870330000000003</v>
      </c>
    </row>
    <row r="791" spans="2:4" x14ac:dyDescent="0.3">
      <c r="B791" t="s">
        <v>899</v>
      </c>
      <c r="C791" s="23">
        <v>36.963391999999999</v>
      </c>
      <c r="D791" s="23">
        <v>45.389561</v>
      </c>
    </row>
    <row r="792" spans="2:4" x14ac:dyDescent="0.3">
      <c r="B792" t="s">
        <v>900</v>
      </c>
      <c r="C792" s="23">
        <v>36.683039000000001</v>
      </c>
      <c r="D792" s="23">
        <v>52.520730999999998</v>
      </c>
    </row>
    <row r="793" spans="2:4" x14ac:dyDescent="0.3">
      <c r="B793" t="s">
        <v>901</v>
      </c>
      <c r="C793" s="23">
        <v>36.370202999999997</v>
      </c>
      <c r="D793" s="23">
        <v>52.565277999999999</v>
      </c>
    </row>
    <row r="794" spans="2:4" x14ac:dyDescent="0.3">
      <c r="B794" t="s">
        <v>902</v>
      </c>
      <c r="C794" s="23">
        <v>36.890725000000003</v>
      </c>
      <c r="D794" s="23">
        <v>54.073314000000003</v>
      </c>
    </row>
    <row r="795" spans="2:4" x14ac:dyDescent="0.3">
      <c r="B795" t="s">
        <v>903</v>
      </c>
      <c r="C795" s="23">
        <v>36.815919000000001</v>
      </c>
      <c r="D795" s="23">
        <v>50.879888999999999</v>
      </c>
    </row>
    <row r="796" spans="2:4" x14ac:dyDescent="0.3">
      <c r="B796" t="s">
        <v>904</v>
      </c>
      <c r="C796" s="23">
        <v>37.476792000000003</v>
      </c>
      <c r="D796" s="23">
        <v>45.894078</v>
      </c>
    </row>
    <row r="797" spans="2:4" x14ac:dyDescent="0.3">
      <c r="B797" t="s">
        <v>905</v>
      </c>
      <c r="C797" s="23">
        <v>31.523136000000001</v>
      </c>
      <c r="D797" s="23">
        <v>49.885182999999998</v>
      </c>
    </row>
    <row r="798" spans="2:4" x14ac:dyDescent="0.3">
      <c r="B798" t="s">
        <v>906</v>
      </c>
      <c r="C798" s="25">
        <v>38.177799999999998</v>
      </c>
      <c r="D798" s="25">
        <v>45.700099999999999</v>
      </c>
    </row>
    <row r="799" spans="2:4" x14ac:dyDescent="0.3">
      <c r="B799" t="s">
        <v>907</v>
      </c>
      <c r="C799" s="23">
        <v>37.156621999999999</v>
      </c>
      <c r="D799" s="23">
        <v>48.986122000000002</v>
      </c>
    </row>
    <row r="800" spans="2:4" x14ac:dyDescent="0.3">
      <c r="B800" t="s">
        <v>908</v>
      </c>
      <c r="C800" s="23">
        <v>36.363756000000002</v>
      </c>
      <c r="D800" s="23">
        <v>52.732863999999999</v>
      </c>
    </row>
    <row r="801" spans="2:4" x14ac:dyDescent="0.3">
      <c r="B801" t="s">
        <v>909</v>
      </c>
      <c r="C801" s="24">
        <v>35.111660000000001</v>
      </c>
      <c r="D801" s="24">
        <v>49.832619999999999</v>
      </c>
    </row>
    <row r="802" spans="2:4" x14ac:dyDescent="0.3">
      <c r="B802" t="s">
        <v>910</v>
      </c>
      <c r="C802" s="23">
        <v>31.585464000000002</v>
      </c>
      <c r="D802" s="23">
        <v>48.883558000000001</v>
      </c>
    </row>
    <row r="803" spans="2:4" x14ac:dyDescent="0.3">
      <c r="B803" t="s">
        <v>911</v>
      </c>
      <c r="C803" s="23">
        <v>36.478588999999999</v>
      </c>
      <c r="D803" s="23">
        <v>52.110610999999999</v>
      </c>
    </row>
    <row r="804" spans="2:4" x14ac:dyDescent="0.3">
      <c r="B804" t="s">
        <v>912</v>
      </c>
      <c r="C804" s="23">
        <v>34.983133000000002</v>
      </c>
      <c r="D804" s="23">
        <v>46.276702999999998</v>
      </c>
    </row>
    <row r="805" spans="2:4" x14ac:dyDescent="0.3">
      <c r="B805" t="s">
        <v>913</v>
      </c>
      <c r="C805" s="25">
        <v>31.485099999999999</v>
      </c>
      <c r="D805" s="25">
        <v>48.874600000000001</v>
      </c>
    </row>
    <row r="806" spans="2:4" x14ac:dyDescent="0.3">
      <c r="B806" t="s">
        <v>914</v>
      </c>
      <c r="C806" s="23">
        <v>32.205919000000002</v>
      </c>
      <c r="D806" s="23">
        <v>49.444361000000001</v>
      </c>
    </row>
    <row r="807" spans="2:4" x14ac:dyDescent="0.3">
      <c r="B807" t="s">
        <v>915</v>
      </c>
      <c r="C807" s="24">
        <v>38.195120000000003</v>
      </c>
      <c r="D807" s="24">
        <v>45.630659999999999</v>
      </c>
    </row>
    <row r="808" spans="2:4" x14ac:dyDescent="0.3">
      <c r="B808" t="s">
        <v>916</v>
      </c>
      <c r="C808" s="25">
        <v>38.179299999999998</v>
      </c>
      <c r="D808" s="23">
        <v>45.486369000000003</v>
      </c>
    </row>
    <row r="809" spans="2:4" x14ac:dyDescent="0.3">
      <c r="B809" t="s">
        <v>917</v>
      </c>
      <c r="C809" s="23">
        <v>36.772396999999998</v>
      </c>
      <c r="D809" s="23">
        <v>49.750844000000001</v>
      </c>
    </row>
    <row r="810" spans="2:4" x14ac:dyDescent="0.3">
      <c r="B810" t="s">
        <v>918</v>
      </c>
      <c r="C810" s="23">
        <v>26.999361</v>
      </c>
      <c r="D810" s="23">
        <v>62.121431000000001</v>
      </c>
    </row>
    <row r="811" spans="2:4" x14ac:dyDescent="0.3">
      <c r="B811" t="s">
        <v>919</v>
      </c>
      <c r="C811" s="24">
        <v>34.792650000000002</v>
      </c>
      <c r="D811" s="23">
        <v>46.494841999999998</v>
      </c>
    </row>
    <row r="812" spans="2:4" x14ac:dyDescent="0.3">
      <c r="B812" t="s">
        <v>920</v>
      </c>
      <c r="C812" s="23">
        <v>36.665253</v>
      </c>
      <c r="D812" s="23">
        <v>51.244124999999997</v>
      </c>
    </row>
    <row r="813" spans="2:4" x14ac:dyDescent="0.3">
      <c r="B813" t="s">
        <v>921</v>
      </c>
      <c r="C813" s="24">
        <v>37.358910000000002</v>
      </c>
      <c r="D813" s="24">
        <v>49.862949999999998</v>
      </c>
    </row>
    <row r="814" spans="2:4" x14ac:dyDescent="0.3">
      <c r="B814" t="s">
        <v>922</v>
      </c>
      <c r="C814" s="23">
        <v>25.293189000000002</v>
      </c>
      <c r="D814" s="23">
        <v>60.646318999999998</v>
      </c>
    </row>
    <row r="815" spans="2:4" x14ac:dyDescent="0.3">
      <c r="B815" t="s">
        <v>923</v>
      </c>
      <c r="C815" s="24">
        <v>31.321090000000002</v>
      </c>
      <c r="D815" s="25">
        <v>48.677700000000002</v>
      </c>
    </row>
    <row r="816" spans="2:4" x14ac:dyDescent="0.3">
      <c r="B816" t="s">
        <v>924</v>
      </c>
      <c r="C816" s="24">
        <v>38.13402</v>
      </c>
      <c r="D816" s="25">
        <v>46.949599999999997</v>
      </c>
    </row>
    <row r="817" spans="2:4" x14ac:dyDescent="0.3">
      <c r="B817" t="s">
        <v>925</v>
      </c>
      <c r="C817" s="23">
        <v>31.944811000000001</v>
      </c>
      <c r="D817" s="23">
        <v>49.297908</v>
      </c>
    </row>
    <row r="818" spans="2:4" x14ac:dyDescent="0.3">
      <c r="B818" t="s">
        <v>926</v>
      </c>
      <c r="C818" s="25">
        <v>30.447700000000001</v>
      </c>
      <c r="D818" s="25">
        <v>48.168700000000001</v>
      </c>
    </row>
    <row r="819" spans="2:4" x14ac:dyDescent="0.3">
      <c r="B819" t="s">
        <v>927</v>
      </c>
      <c r="C819" s="23">
        <v>36.748514</v>
      </c>
      <c r="D819" s="23">
        <v>51.035969000000001</v>
      </c>
    </row>
    <row r="820" spans="2:4" x14ac:dyDescent="0.3">
      <c r="B820" t="s">
        <v>928</v>
      </c>
      <c r="C820" s="23">
        <v>37.991382999999999</v>
      </c>
      <c r="D820" s="23">
        <v>45.040683000000001</v>
      </c>
    </row>
    <row r="821" spans="2:4" x14ac:dyDescent="0.3">
      <c r="B821" t="s">
        <v>929</v>
      </c>
      <c r="C821" s="23">
        <v>37.615881000000002</v>
      </c>
      <c r="D821" s="23">
        <v>47.771475000000002</v>
      </c>
    </row>
    <row r="822" spans="2:4" x14ac:dyDescent="0.3">
      <c r="B822" t="s">
        <v>930</v>
      </c>
      <c r="C822" s="23">
        <v>32.299722000000003</v>
      </c>
      <c r="D822" s="23">
        <v>48.427222</v>
      </c>
    </row>
    <row r="823" spans="2:4" x14ac:dyDescent="0.3">
      <c r="B823" t="s">
        <v>931</v>
      </c>
      <c r="C823" s="23">
        <v>38.869374999999998</v>
      </c>
      <c r="D823" s="24">
        <v>46.001750000000001</v>
      </c>
    </row>
    <row r="824" spans="2:4" x14ac:dyDescent="0.3">
      <c r="B824" t="s">
        <v>932</v>
      </c>
      <c r="C824" s="23">
        <v>37.302124999999997</v>
      </c>
      <c r="D824" s="23">
        <v>49.220771999999997</v>
      </c>
    </row>
    <row r="825" spans="2:4" x14ac:dyDescent="0.3">
      <c r="B825" t="s">
        <v>933</v>
      </c>
      <c r="C825" s="23">
        <v>35.250731000000002</v>
      </c>
      <c r="D825" s="23">
        <v>57.808483000000003</v>
      </c>
    </row>
    <row r="826" spans="2:4" x14ac:dyDescent="0.3">
      <c r="B826" t="s">
        <v>934</v>
      </c>
      <c r="C826" s="23">
        <v>34.024952999999996</v>
      </c>
      <c r="D826" s="23">
        <v>46.328902999999997</v>
      </c>
    </row>
    <row r="827" spans="2:4" x14ac:dyDescent="0.3">
      <c r="B827" t="s">
        <v>935</v>
      </c>
      <c r="C827" s="23">
        <v>33.881810999999999</v>
      </c>
      <c r="D827" s="25">
        <v>50.5762</v>
      </c>
    </row>
    <row r="828" spans="2:4" x14ac:dyDescent="0.3">
      <c r="B828" t="s">
        <v>936</v>
      </c>
      <c r="C828" s="23">
        <v>34.279231000000003</v>
      </c>
      <c r="D828" s="23">
        <v>46.242561000000002</v>
      </c>
    </row>
    <row r="829" spans="2:4" x14ac:dyDescent="0.3">
      <c r="B829" t="s">
        <v>937</v>
      </c>
      <c r="C829" s="23">
        <v>36.575482999999998</v>
      </c>
      <c r="D829" s="23">
        <v>52.811169</v>
      </c>
    </row>
    <row r="830" spans="2:4" x14ac:dyDescent="0.3">
      <c r="B830" t="s">
        <v>938</v>
      </c>
      <c r="C830" s="25">
        <v>36.923099999999998</v>
      </c>
      <c r="D830" s="23">
        <v>50.642938999999998</v>
      </c>
    </row>
    <row r="831" spans="2:4" x14ac:dyDescent="0.3">
      <c r="B831" t="s">
        <v>939</v>
      </c>
      <c r="C831" s="23">
        <v>37.306618999999998</v>
      </c>
      <c r="D831" s="23">
        <v>49.311019000000002</v>
      </c>
    </row>
    <row r="832" spans="2:4" x14ac:dyDescent="0.3">
      <c r="B832" t="s">
        <v>940</v>
      </c>
      <c r="C832" s="24">
        <v>32.379249999999999</v>
      </c>
      <c r="D832" s="23">
        <v>48.397660999999999</v>
      </c>
    </row>
    <row r="833" spans="2:4" x14ac:dyDescent="0.3">
      <c r="B833" t="s">
        <v>941</v>
      </c>
      <c r="C833" s="24">
        <v>38.15334</v>
      </c>
      <c r="D833" s="24">
        <v>46.581760000000003</v>
      </c>
    </row>
    <row r="834" spans="2:4" x14ac:dyDescent="0.3">
      <c r="B834" t="s">
        <v>942</v>
      </c>
      <c r="C834" s="23">
        <v>34.501364000000002</v>
      </c>
      <c r="D834" s="23">
        <v>47.962867000000003</v>
      </c>
    </row>
    <row r="835" spans="2:4" x14ac:dyDescent="0.3">
      <c r="B835" t="s">
        <v>943</v>
      </c>
      <c r="C835" s="23">
        <v>37.801408000000002</v>
      </c>
      <c r="D835" s="23">
        <v>48.903846999999999</v>
      </c>
    </row>
    <row r="836" spans="2:4" x14ac:dyDescent="0.3">
      <c r="B836" t="s">
        <v>944</v>
      </c>
      <c r="C836" s="23">
        <v>30.052769000000001</v>
      </c>
      <c r="D836" s="23">
        <v>50.155794</v>
      </c>
    </row>
    <row r="837" spans="2:4" x14ac:dyDescent="0.3">
      <c r="B837" t="s">
        <v>945</v>
      </c>
      <c r="C837" s="23">
        <v>37.011336</v>
      </c>
      <c r="D837" s="23">
        <v>46.205793999999997</v>
      </c>
    </row>
    <row r="838" spans="2:4" x14ac:dyDescent="0.3">
      <c r="B838" t="s">
        <v>946</v>
      </c>
      <c r="C838" s="24">
        <v>33.597450000000002</v>
      </c>
      <c r="D838" s="23">
        <v>49.521107999999998</v>
      </c>
    </row>
    <row r="839" spans="2:4" x14ac:dyDescent="0.3">
      <c r="B839" t="s">
        <v>947</v>
      </c>
      <c r="C839" s="24">
        <v>35.313049999999997</v>
      </c>
      <c r="D839" s="25">
        <v>49.101799999999997</v>
      </c>
    </row>
    <row r="840" spans="2:4" x14ac:dyDescent="0.3">
      <c r="B840" t="s">
        <v>948</v>
      </c>
      <c r="C840" s="24">
        <v>35.032089999999997</v>
      </c>
      <c r="D840" s="24">
        <v>50.360529999999997</v>
      </c>
    </row>
    <row r="841" spans="2:4" x14ac:dyDescent="0.3">
      <c r="B841" t="s">
        <v>949</v>
      </c>
      <c r="C841" s="23">
        <v>30.032789000000001</v>
      </c>
      <c r="D841" s="23">
        <v>53.717568999999997</v>
      </c>
    </row>
    <row r="842" spans="2:4" x14ac:dyDescent="0.3">
      <c r="B842" t="s">
        <v>950</v>
      </c>
      <c r="C842" s="25">
        <v>36.5214</v>
      </c>
      <c r="D842" s="25">
        <v>46.217599999999997</v>
      </c>
    </row>
    <row r="843" spans="2:4" x14ac:dyDescent="0.3">
      <c r="B843" t="s">
        <v>951</v>
      </c>
      <c r="C843" s="24">
        <v>35.384160000000001</v>
      </c>
      <c r="D843" s="24">
        <v>50.567279999999997</v>
      </c>
    </row>
    <row r="844" spans="2:4" x14ac:dyDescent="0.3">
      <c r="B844" t="s">
        <v>952</v>
      </c>
      <c r="C844" s="23">
        <v>37.882424999999998</v>
      </c>
      <c r="D844" s="23">
        <v>47.101455999999999</v>
      </c>
    </row>
    <row r="845" spans="2:4" x14ac:dyDescent="0.3">
      <c r="B845" t="s">
        <v>953</v>
      </c>
      <c r="C845" s="23">
        <v>31.631938999999999</v>
      </c>
      <c r="D845" s="23">
        <v>49.890281000000002</v>
      </c>
    </row>
    <row r="846" spans="2:4" x14ac:dyDescent="0.3">
      <c r="B846" t="s">
        <v>954</v>
      </c>
      <c r="C846" s="23">
        <v>36.688003000000002</v>
      </c>
      <c r="D846" s="23">
        <v>52.908647000000002</v>
      </c>
    </row>
    <row r="847" spans="2:4" x14ac:dyDescent="0.3">
      <c r="B847" t="s">
        <v>955</v>
      </c>
      <c r="C847" s="23">
        <v>37.726944000000003</v>
      </c>
      <c r="D847" s="23">
        <v>44.642930999999997</v>
      </c>
    </row>
    <row r="848" spans="2:4" x14ac:dyDescent="0.3">
      <c r="B848" t="s">
        <v>956</v>
      </c>
      <c r="C848" s="23">
        <v>36.406511000000002</v>
      </c>
      <c r="D848" s="23">
        <v>45.370722000000001</v>
      </c>
    </row>
    <row r="849" spans="1:4" x14ac:dyDescent="0.3">
      <c r="B849" t="s">
        <v>957</v>
      </c>
      <c r="C849" s="23">
        <v>36.430318999999997</v>
      </c>
      <c r="D849" s="23">
        <v>52.656866999999998</v>
      </c>
    </row>
    <row r="850" spans="1:4" x14ac:dyDescent="0.3">
      <c r="B850" t="s">
        <v>958</v>
      </c>
      <c r="C850" s="24">
        <v>38.436729999999997</v>
      </c>
      <c r="D850" s="24">
        <v>45.788960000000003</v>
      </c>
    </row>
    <row r="851" spans="1:4" x14ac:dyDescent="0.3">
      <c r="B851" t="s">
        <v>959</v>
      </c>
      <c r="C851" s="23">
        <v>35.377777999999999</v>
      </c>
      <c r="D851" s="23">
        <v>59.035153000000001</v>
      </c>
    </row>
    <row r="852" spans="1:4" x14ac:dyDescent="0.3">
      <c r="B852" t="s">
        <v>960</v>
      </c>
      <c r="C852" s="23">
        <v>37.426566999999999</v>
      </c>
      <c r="D852" s="23">
        <v>47.710456000000001</v>
      </c>
    </row>
    <row r="853" spans="1:4" x14ac:dyDescent="0.3">
      <c r="B853" t="s">
        <v>961</v>
      </c>
      <c r="C853" s="23">
        <v>33.885981000000001</v>
      </c>
      <c r="D853" s="23">
        <v>49.353411000000001</v>
      </c>
    </row>
    <row r="854" spans="1:4" x14ac:dyDescent="0.3">
      <c r="B854" t="s">
        <v>962</v>
      </c>
      <c r="C854" s="23">
        <v>30.645261000000001</v>
      </c>
      <c r="D854" s="23">
        <v>48.659319000000004</v>
      </c>
    </row>
    <row r="855" spans="1:4" x14ac:dyDescent="0.3">
      <c r="B855" t="s">
        <v>963</v>
      </c>
      <c r="C855" s="23">
        <v>34.110560999999997</v>
      </c>
      <c r="D855" s="23">
        <v>47.089883</v>
      </c>
    </row>
    <row r="856" spans="1:4" x14ac:dyDescent="0.3">
      <c r="B856" t="s">
        <v>964</v>
      </c>
      <c r="C856" s="23">
        <v>37.040669000000001</v>
      </c>
      <c r="D856" s="23">
        <v>45.093572000000002</v>
      </c>
    </row>
    <row r="857" spans="1:4" x14ac:dyDescent="0.3">
      <c r="B857" t="s">
        <v>965</v>
      </c>
      <c r="C857" s="23">
        <v>35.483891999999997</v>
      </c>
      <c r="D857" s="23">
        <v>51.084392000000001</v>
      </c>
    </row>
    <row r="858" spans="1:4" x14ac:dyDescent="0.3">
      <c r="B858" t="s">
        <v>966</v>
      </c>
      <c r="C858" s="23">
        <v>37.150874999999999</v>
      </c>
      <c r="D858" s="23">
        <v>50.206969000000001</v>
      </c>
    </row>
    <row r="859" spans="1:4" x14ac:dyDescent="0.3">
      <c r="B859" t="s">
        <v>888</v>
      </c>
      <c r="C859" s="23">
        <v>36.158180999999999</v>
      </c>
      <c r="D859" s="23">
        <v>45.473863999999999</v>
      </c>
    </row>
    <row r="860" spans="1:4" x14ac:dyDescent="0.3">
      <c r="B860" t="s">
        <v>967</v>
      </c>
      <c r="C860" s="23">
        <v>30.698118999999998</v>
      </c>
      <c r="D860" s="23">
        <v>49.830475</v>
      </c>
    </row>
    <row r="861" spans="1:4" x14ac:dyDescent="0.3">
      <c r="B861" t="s">
        <v>968</v>
      </c>
      <c r="C861" s="24">
        <v>37.26567</v>
      </c>
      <c r="D861" s="24">
        <v>49.943179999999998</v>
      </c>
    </row>
    <row r="862" spans="1:4" x14ac:dyDescent="0.3">
      <c r="A862" t="s">
        <v>819</v>
      </c>
      <c r="B862" t="s">
        <v>969</v>
      </c>
      <c r="C862" s="24">
        <v>34.693779999999997</v>
      </c>
      <c r="D862" s="25">
        <v>50.015500000000003</v>
      </c>
    </row>
    <row r="863" spans="1:4" x14ac:dyDescent="0.3">
      <c r="B863" t="s">
        <v>970</v>
      </c>
      <c r="C863" s="25">
        <v>31.4053</v>
      </c>
      <c r="D863" s="25">
        <v>48.7941</v>
      </c>
    </row>
    <row r="864" spans="1:4" x14ac:dyDescent="0.3">
      <c r="A864" t="s">
        <v>819</v>
      </c>
      <c r="B864" t="s">
        <v>971</v>
      </c>
      <c r="C864" s="23">
        <v>34.623075</v>
      </c>
      <c r="D864" s="23">
        <v>49.203772000000001</v>
      </c>
    </row>
    <row r="865" spans="2:4" x14ac:dyDescent="0.3">
      <c r="B865" t="s">
        <v>972</v>
      </c>
      <c r="C865" s="23">
        <v>32.149436000000001</v>
      </c>
      <c r="D865" s="23">
        <v>48.390616999999999</v>
      </c>
    </row>
    <row r="866" spans="2:4" x14ac:dyDescent="0.3">
      <c r="B866" t="s">
        <v>973</v>
      </c>
      <c r="C866" s="25">
        <v>36.955100000000002</v>
      </c>
      <c r="D866" s="23">
        <v>46.324947000000002</v>
      </c>
    </row>
    <row r="867" spans="2:4" x14ac:dyDescent="0.3">
      <c r="B867" t="s">
        <v>974</v>
      </c>
      <c r="C867" s="23">
        <v>35.182685999999997</v>
      </c>
      <c r="D867" s="23">
        <v>46.253222000000001</v>
      </c>
    </row>
    <row r="868" spans="2:4" x14ac:dyDescent="0.3">
      <c r="B868" t="s">
        <v>975</v>
      </c>
      <c r="C868" s="23">
        <v>37.177030999999999</v>
      </c>
      <c r="D868" s="23">
        <v>49.693922000000001</v>
      </c>
    </row>
    <row r="869" spans="2:4" x14ac:dyDescent="0.3">
      <c r="B869" t="s">
        <v>976</v>
      </c>
      <c r="C869" s="23">
        <v>31.481069000000002</v>
      </c>
      <c r="D869" s="23">
        <v>48.432288999999997</v>
      </c>
    </row>
    <row r="870" spans="2:4" x14ac:dyDescent="0.3">
      <c r="B870" t="s">
        <v>977</v>
      </c>
      <c r="C870" s="23">
        <v>36.624868999999997</v>
      </c>
      <c r="D870" s="23">
        <v>49.514361000000001</v>
      </c>
    </row>
    <row r="871" spans="2:4" x14ac:dyDescent="0.3">
      <c r="B871" t="s">
        <v>978</v>
      </c>
      <c r="C871" s="23">
        <v>36.641672</v>
      </c>
      <c r="D871" s="23">
        <v>52.906238999999999</v>
      </c>
    </row>
    <row r="872" spans="2:4" x14ac:dyDescent="0.3">
      <c r="B872" t="s">
        <v>979</v>
      </c>
      <c r="C872" s="25">
        <v>36.177700000000002</v>
      </c>
      <c r="D872" s="25">
        <v>53.264400000000002</v>
      </c>
    </row>
    <row r="873" spans="2:4" x14ac:dyDescent="0.3">
      <c r="B873" t="s">
        <v>980</v>
      </c>
      <c r="C873" s="23">
        <v>36.451756000000003</v>
      </c>
      <c r="D873" s="23">
        <v>51.274693999999997</v>
      </c>
    </row>
    <row r="874" spans="2:4" x14ac:dyDescent="0.3">
      <c r="B874" t="s">
        <v>981</v>
      </c>
      <c r="C874" s="23">
        <v>37.473139000000003</v>
      </c>
      <c r="D874" s="23">
        <v>49.467561000000003</v>
      </c>
    </row>
    <row r="875" spans="2:4" x14ac:dyDescent="0.3">
      <c r="B875" t="s">
        <v>982</v>
      </c>
      <c r="C875" s="23">
        <v>30.895153000000001</v>
      </c>
      <c r="D875" s="23">
        <v>49.409728000000001</v>
      </c>
    </row>
    <row r="876" spans="2:4" x14ac:dyDescent="0.3">
      <c r="B876" t="s">
        <v>983</v>
      </c>
      <c r="C876" s="23">
        <v>36.596161000000002</v>
      </c>
      <c r="D876" s="23">
        <v>53.210819000000001</v>
      </c>
    </row>
    <row r="877" spans="2:4" x14ac:dyDescent="0.3">
      <c r="B877" t="s">
        <v>984</v>
      </c>
      <c r="C877" s="26">
        <v>36.807000000000002</v>
      </c>
      <c r="D877" s="25">
        <v>45.265500000000003</v>
      </c>
    </row>
    <row r="878" spans="2:4" x14ac:dyDescent="0.3">
      <c r="B878" t="s">
        <v>985</v>
      </c>
      <c r="C878" s="23">
        <v>35.130513999999998</v>
      </c>
      <c r="D878" s="23">
        <v>49.710268999999997</v>
      </c>
    </row>
    <row r="879" spans="2:4" x14ac:dyDescent="0.3">
      <c r="B879" t="s">
        <v>986</v>
      </c>
      <c r="C879" s="23">
        <v>31.278863999999999</v>
      </c>
      <c r="D879" s="23">
        <v>49.605347000000002</v>
      </c>
    </row>
    <row r="880" spans="2:4" x14ac:dyDescent="0.3">
      <c r="B880" t="s">
        <v>987</v>
      </c>
      <c r="C880" s="25">
        <v>30.705400000000001</v>
      </c>
      <c r="D880" s="25">
        <v>49.166200000000003</v>
      </c>
    </row>
    <row r="881" spans="2:4" x14ac:dyDescent="0.3">
      <c r="B881" t="s">
        <v>988</v>
      </c>
      <c r="C881" s="23">
        <v>31.366686000000001</v>
      </c>
      <c r="D881" s="23">
        <v>50.085146999999999</v>
      </c>
    </row>
    <row r="882" spans="2:4" x14ac:dyDescent="0.3">
      <c r="B882" t="s">
        <v>989</v>
      </c>
      <c r="C882" s="25">
        <v>36.7288</v>
      </c>
      <c r="D882" s="25">
        <v>46.1828</v>
      </c>
    </row>
    <row r="883" spans="2:4" x14ac:dyDescent="0.3">
      <c r="B883" t="s">
        <v>990</v>
      </c>
      <c r="C883" s="23">
        <v>36.522747000000003</v>
      </c>
      <c r="D883" s="23">
        <v>52.576022000000002</v>
      </c>
    </row>
    <row r="884" spans="2:4" x14ac:dyDescent="0.3">
      <c r="B884" t="s">
        <v>991</v>
      </c>
      <c r="C884" s="23">
        <v>37.092306000000001</v>
      </c>
      <c r="D884" s="23">
        <v>49.414664000000002</v>
      </c>
    </row>
    <row r="885" spans="2:4" x14ac:dyDescent="0.3">
      <c r="B885" t="s">
        <v>992</v>
      </c>
      <c r="C885" s="23">
        <v>38.146897000000003</v>
      </c>
      <c r="D885" s="23">
        <v>48.893960999999997</v>
      </c>
    </row>
    <row r="886" spans="2:4" x14ac:dyDescent="0.3">
      <c r="B886" t="s">
        <v>993</v>
      </c>
      <c r="C886" s="24">
        <v>37.418759999999999</v>
      </c>
      <c r="D886" s="24">
        <v>49.94896</v>
      </c>
    </row>
    <row r="887" spans="2:4" x14ac:dyDescent="0.3">
      <c r="B887" t="s">
        <v>994</v>
      </c>
      <c r="C887" s="24">
        <v>34.010370000000002</v>
      </c>
      <c r="D887" s="24">
        <v>50.840809999999998</v>
      </c>
    </row>
    <row r="888" spans="2:4" x14ac:dyDescent="0.3">
      <c r="B888" t="s">
        <v>995</v>
      </c>
      <c r="C888" s="23">
        <v>37.313372000000001</v>
      </c>
      <c r="D888" s="23">
        <v>46.529013999999997</v>
      </c>
    </row>
    <row r="889" spans="2:4" x14ac:dyDescent="0.3">
      <c r="B889" t="s">
        <v>996</v>
      </c>
      <c r="C889" s="23">
        <v>34.584843999999997</v>
      </c>
      <c r="D889" s="23">
        <v>47.434614000000003</v>
      </c>
    </row>
    <row r="890" spans="2:4" x14ac:dyDescent="0.3">
      <c r="B890" t="s">
        <v>997</v>
      </c>
      <c r="C890" s="23">
        <v>37.914682999999997</v>
      </c>
      <c r="D890" s="23">
        <v>46.121113999999999</v>
      </c>
    </row>
    <row r="891" spans="2:4" x14ac:dyDescent="0.3">
      <c r="B891" t="s">
        <v>998</v>
      </c>
      <c r="C891" s="24">
        <v>32.00806</v>
      </c>
      <c r="D891" s="24">
        <v>51.21772</v>
      </c>
    </row>
    <row r="892" spans="2:4" x14ac:dyDescent="0.3">
      <c r="B892" t="s">
        <v>999</v>
      </c>
      <c r="C892" s="23">
        <v>37.128897000000002</v>
      </c>
      <c r="D892" s="23">
        <v>46.975231000000001</v>
      </c>
    </row>
    <row r="893" spans="2:4" x14ac:dyDescent="0.3">
      <c r="B893" t="s">
        <v>1000</v>
      </c>
      <c r="C893" s="24">
        <v>33.878749999999997</v>
      </c>
      <c r="D893" s="23">
        <v>45.640081000000002</v>
      </c>
    </row>
    <row r="894" spans="2:4" x14ac:dyDescent="0.3">
      <c r="B894" t="s">
        <v>1001</v>
      </c>
      <c r="C894" s="23">
        <v>37.938533</v>
      </c>
      <c r="D894" s="23">
        <v>45.979564000000003</v>
      </c>
    </row>
    <row r="895" spans="2:4" x14ac:dyDescent="0.3">
      <c r="B895" t="s">
        <v>1002</v>
      </c>
      <c r="C895" s="23">
        <v>38.454830999999999</v>
      </c>
      <c r="D895" s="25">
        <v>45.569400000000002</v>
      </c>
    </row>
    <row r="896" spans="2:4" x14ac:dyDescent="0.3">
      <c r="B896" t="s">
        <v>1003</v>
      </c>
      <c r="C896" s="23">
        <v>38.197583000000002</v>
      </c>
      <c r="D896" s="25">
        <v>44.767099999999999</v>
      </c>
    </row>
    <row r="897" spans="2:4" x14ac:dyDescent="0.3">
      <c r="B897" t="s">
        <v>1004</v>
      </c>
      <c r="C897" s="23">
        <v>36.680461000000001</v>
      </c>
      <c r="D897" s="23">
        <v>53.426903000000003</v>
      </c>
    </row>
    <row r="898" spans="2:4" x14ac:dyDescent="0.3">
      <c r="B898" t="s">
        <v>1005</v>
      </c>
      <c r="C898" s="23">
        <v>39.148288999999998</v>
      </c>
      <c r="D898" s="23">
        <v>47.034233</v>
      </c>
    </row>
    <row r="899" spans="2:4" x14ac:dyDescent="0.3">
      <c r="B899" t="s">
        <v>1006</v>
      </c>
      <c r="C899" s="24">
        <v>32.198920000000001</v>
      </c>
      <c r="D899" s="24">
        <v>51.504449999999999</v>
      </c>
    </row>
    <row r="900" spans="2:4" x14ac:dyDescent="0.3">
      <c r="B900" t="s">
        <v>1007</v>
      </c>
      <c r="C900" s="23">
        <v>35.173031000000002</v>
      </c>
      <c r="D900" s="23">
        <v>46.212268999999999</v>
      </c>
    </row>
    <row r="901" spans="2:4" x14ac:dyDescent="0.3">
      <c r="B901" t="s">
        <v>1008</v>
      </c>
      <c r="C901" s="25">
        <v>36.694699999999997</v>
      </c>
      <c r="D901" s="25">
        <v>51.195500000000003</v>
      </c>
    </row>
    <row r="902" spans="2:4" x14ac:dyDescent="0.3">
      <c r="B902" t="s">
        <v>1009</v>
      </c>
      <c r="C902" s="23">
        <v>36.111860999999998</v>
      </c>
      <c r="D902" s="23">
        <v>53.058714000000002</v>
      </c>
    </row>
    <row r="903" spans="2:4" x14ac:dyDescent="0.3">
      <c r="B903" t="s">
        <v>1010</v>
      </c>
      <c r="C903" s="23">
        <v>39.041505999999998</v>
      </c>
      <c r="D903" s="23">
        <v>47.315860999999998</v>
      </c>
    </row>
    <row r="904" spans="2:4" x14ac:dyDescent="0.3">
      <c r="B904" t="s">
        <v>1011</v>
      </c>
      <c r="C904" s="23">
        <v>37.143089000000003</v>
      </c>
      <c r="D904" s="23">
        <v>46.103628</v>
      </c>
    </row>
    <row r="905" spans="2:4" x14ac:dyDescent="0.3">
      <c r="B905" t="s">
        <v>1012</v>
      </c>
      <c r="C905" s="23">
        <v>29.483369</v>
      </c>
      <c r="D905" s="23">
        <v>50.627889000000003</v>
      </c>
    </row>
    <row r="906" spans="2:4" x14ac:dyDescent="0.3">
      <c r="B906" t="s">
        <v>1013</v>
      </c>
      <c r="C906" s="23">
        <v>38.860089000000002</v>
      </c>
      <c r="D906" s="23">
        <v>47.370038999999998</v>
      </c>
    </row>
    <row r="907" spans="2:4" x14ac:dyDescent="0.3">
      <c r="B907" t="s">
        <v>1014</v>
      </c>
      <c r="C907" s="23">
        <v>36.647314000000001</v>
      </c>
      <c r="D907" s="23">
        <v>51.506771999999998</v>
      </c>
    </row>
    <row r="908" spans="2:4" x14ac:dyDescent="0.3">
      <c r="B908" t="s">
        <v>1015</v>
      </c>
      <c r="C908" s="23">
        <v>38.103380999999999</v>
      </c>
      <c r="D908" s="23">
        <v>46.993718999999999</v>
      </c>
    </row>
    <row r="909" spans="2:4" x14ac:dyDescent="0.3">
      <c r="B909" t="s">
        <v>1016</v>
      </c>
      <c r="C909" s="23">
        <v>34.142888999999997</v>
      </c>
      <c r="D909" s="24">
        <v>45.91525</v>
      </c>
    </row>
    <row r="910" spans="2:4" x14ac:dyDescent="0.3">
      <c r="B910" t="s">
        <v>1017</v>
      </c>
      <c r="C910" s="23">
        <v>33.990831</v>
      </c>
      <c r="D910" s="23">
        <v>50.687680999999998</v>
      </c>
    </row>
    <row r="911" spans="2:4" x14ac:dyDescent="0.3">
      <c r="B911" t="s">
        <v>1018</v>
      </c>
      <c r="C911" s="23">
        <v>35.902335999999998</v>
      </c>
      <c r="D911" s="23">
        <v>52.224578000000001</v>
      </c>
    </row>
    <row r="912" spans="2:4" x14ac:dyDescent="0.3">
      <c r="B912" t="s">
        <v>1019</v>
      </c>
      <c r="C912" s="23">
        <v>29.987577999999999</v>
      </c>
      <c r="D912" s="23">
        <v>48.515428</v>
      </c>
    </row>
    <row r="913" spans="1:4" x14ac:dyDescent="0.3">
      <c r="B913" t="s">
        <v>1020</v>
      </c>
      <c r="C913" s="23">
        <v>37.227919</v>
      </c>
      <c r="D913" s="23">
        <v>49.311061000000002</v>
      </c>
    </row>
    <row r="914" spans="1:4" x14ac:dyDescent="0.3">
      <c r="B914" t="s">
        <v>1021</v>
      </c>
      <c r="C914" s="23">
        <v>36.631405999999998</v>
      </c>
      <c r="D914" s="23">
        <v>52.262897000000002</v>
      </c>
    </row>
    <row r="915" spans="1:4" x14ac:dyDescent="0.3">
      <c r="B915" t="s">
        <v>1022</v>
      </c>
      <c r="C915" s="23">
        <v>36.966397000000001</v>
      </c>
      <c r="D915" s="23">
        <v>46.103406</v>
      </c>
    </row>
    <row r="916" spans="1:4" x14ac:dyDescent="0.3">
      <c r="B916" t="s">
        <v>1023</v>
      </c>
      <c r="C916" s="23">
        <v>36.704996999999999</v>
      </c>
      <c r="D916" s="23">
        <v>45.139060999999998</v>
      </c>
    </row>
    <row r="917" spans="1:4" x14ac:dyDescent="0.3">
      <c r="B917" t="s">
        <v>1024</v>
      </c>
      <c r="C917" s="23">
        <v>36.703367</v>
      </c>
      <c r="D917" s="23">
        <v>49.795093999999999</v>
      </c>
    </row>
    <row r="918" spans="1:4" x14ac:dyDescent="0.3">
      <c r="B918" t="s">
        <v>1025</v>
      </c>
      <c r="C918" s="23">
        <v>38.184311000000001</v>
      </c>
      <c r="D918" s="23">
        <v>45.574680999999998</v>
      </c>
    </row>
    <row r="919" spans="1:4" x14ac:dyDescent="0.3">
      <c r="B919" t="s">
        <v>1026</v>
      </c>
      <c r="C919" s="23">
        <v>37.127460999999997</v>
      </c>
      <c r="D919" s="23">
        <v>49.364131</v>
      </c>
    </row>
    <row r="920" spans="1:4" x14ac:dyDescent="0.3">
      <c r="B920" t="s">
        <v>1027</v>
      </c>
      <c r="C920" s="23">
        <v>34.344293999999998</v>
      </c>
      <c r="D920" s="23">
        <v>46.418522000000003</v>
      </c>
    </row>
    <row r="921" spans="1:4" x14ac:dyDescent="0.3">
      <c r="B921" t="s">
        <v>1028</v>
      </c>
      <c r="C921" s="24">
        <v>36.399749999999997</v>
      </c>
      <c r="D921" s="24">
        <v>47.107559999999999</v>
      </c>
    </row>
    <row r="922" spans="1:4" x14ac:dyDescent="0.3">
      <c r="B922" t="s">
        <v>1029</v>
      </c>
      <c r="C922" s="23">
        <v>36.465811000000002</v>
      </c>
      <c r="D922" s="23">
        <v>52.350428000000001</v>
      </c>
    </row>
    <row r="923" spans="1:4" x14ac:dyDescent="0.3">
      <c r="B923" t="s">
        <v>1030</v>
      </c>
      <c r="C923" s="24">
        <v>36.679169999999999</v>
      </c>
      <c r="D923" s="24">
        <v>46.560560000000002</v>
      </c>
    </row>
    <row r="924" spans="1:4" x14ac:dyDescent="0.3">
      <c r="A924" t="s">
        <v>819</v>
      </c>
      <c r="B924" t="s">
        <v>1031</v>
      </c>
      <c r="C924" s="24">
        <v>34.506749999999997</v>
      </c>
      <c r="D924" s="24">
        <v>49.682369999999999</v>
      </c>
    </row>
    <row r="925" spans="1:4" x14ac:dyDescent="0.3">
      <c r="B925" t="s">
        <v>1032</v>
      </c>
      <c r="C925" s="24">
        <v>38.553750000000001</v>
      </c>
      <c r="D925" s="23">
        <v>44.948968999999998</v>
      </c>
    </row>
    <row r="926" spans="1:4" x14ac:dyDescent="0.3">
      <c r="B926" t="s">
        <v>1033</v>
      </c>
      <c r="C926" s="24">
        <v>38.030830000000002</v>
      </c>
      <c r="D926" s="24">
        <v>46.147080000000003</v>
      </c>
    </row>
    <row r="927" spans="1:4" x14ac:dyDescent="0.3">
      <c r="B927" t="s">
        <v>1034</v>
      </c>
      <c r="C927" s="23">
        <v>36.698068999999997</v>
      </c>
      <c r="D927" s="25">
        <v>52.654499999999999</v>
      </c>
    </row>
    <row r="928" spans="1:4" x14ac:dyDescent="0.3">
      <c r="B928" t="s">
        <v>1035</v>
      </c>
      <c r="C928" s="23">
        <v>38.199731</v>
      </c>
      <c r="D928" s="23">
        <v>45.812569000000003</v>
      </c>
    </row>
    <row r="929" spans="1:4" x14ac:dyDescent="0.3">
      <c r="B929" t="s">
        <v>1036</v>
      </c>
      <c r="C929" s="23">
        <v>30.555333000000001</v>
      </c>
      <c r="D929" s="23">
        <v>49.189816999999998</v>
      </c>
    </row>
    <row r="930" spans="1:4" x14ac:dyDescent="0.3">
      <c r="B930" t="s">
        <v>1037</v>
      </c>
      <c r="C930" s="23">
        <v>39.217747000000003</v>
      </c>
      <c r="D930" s="23">
        <v>44.771214000000001</v>
      </c>
    </row>
    <row r="931" spans="1:4" x14ac:dyDescent="0.3">
      <c r="B931" t="s">
        <v>1038</v>
      </c>
      <c r="C931" s="23">
        <v>31.721868000000001</v>
      </c>
      <c r="D931" s="24">
        <v>47.984720000000003</v>
      </c>
    </row>
    <row r="932" spans="1:4" x14ac:dyDescent="0.3">
      <c r="B932" t="s">
        <v>1039</v>
      </c>
      <c r="C932" s="24">
        <v>38.128579999999999</v>
      </c>
      <c r="D932" s="24">
        <v>45.712609999999998</v>
      </c>
    </row>
    <row r="933" spans="1:4" x14ac:dyDescent="0.3">
      <c r="B933" t="s">
        <v>1040</v>
      </c>
      <c r="C933" s="24">
        <v>38.488840000000003</v>
      </c>
      <c r="D933" s="24">
        <v>47.070259999999998</v>
      </c>
    </row>
    <row r="934" spans="1:4" x14ac:dyDescent="0.3">
      <c r="A934" t="s">
        <v>819</v>
      </c>
      <c r="B934" t="s">
        <v>1041</v>
      </c>
      <c r="C934" s="24">
        <v>34.096939999999996</v>
      </c>
      <c r="D934" s="24">
        <v>49.69097</v>
      </c>
    </row>
    <row r="935" spans="1:4" x14ac:dyDescent="0.3">
      <c r="B935" t="s">
        <v>872</v>
      </c>
      <c r="C935" s="23">
        <v>36.726131000000002</v>
      </c>
      <c r="D935" s="23">
        <v>53.810631000000001</v>
      </c>
    </row>
    <row r="936" spans="1:4" x14ac:dyDescent="0.3">
      <c r="B936" t="s">
        <v>1042</v>
      </c>
      <c r="C936" s="23">
        <v>39.387830999999998</v>
      </c>
      <c r="D936" s="23">
        <v>44.387988999999997</v>
      </c>
    </row>
    <row r="937" spans="1:4" x14ac:dyDescent="0.3">
      <c r="B937" t="s">
        <v>1043</v>
      </c>
      <c r="C937" s="25">
        <v>37.042400000000001</v>
      </c>
      <c r="D937" s="23">
        <v>50.233007999999998</v>
      </c>
    </row>
    <row r="938" spans="1:4" x14ac:dyDescent="0.3">
      <c r="B938" t="s">
        <v>1044</v>
      </c>
      <c r="C938" s="23">
        <v>33.675643999999998</v>
      </c>
      <c r="D938" s="23">
        <v>49.876807999999997</v>
      </c>
    </row>
    <row r="939" spans="1:4" x14ac:dyDescent="0.3">
      <c r="B939" t="s">
        <v>1045</v>
      </c>
      <c r="C939" s="23">
        <v>36.689753000000003</v>
      </c>
      <c r="D939" s="23">
        <v>53.641472</v>
      </c>
    </row>
    <row r="940" spans="1:4" x14ac:dyDescent="0.3">
      <c r="B940" t="s">
        <v>1046</v>
      </c>
      <c r="C940" s="23">
        <v>34.830213999999998</v>
      </c>
      <c r="D940" s="23">
        <v>45.843753</v>
      </c>
    </row>
    <row r="941" spans="1:4" x14ac:dyDescent="0.3">
      <c r="B941" t="s">
        <v>1047</v>
      </c>
      <c r="C941" s="24">
        <v>38.588659999999997</v>
      </c>
      <c r="D941" s="24">
        <v>45.831580000000002</v>
      </c>
    </row>
    <row r="942" spans="1:4" x14ac:dyDescent="0.3">
      <c r="B942" t="s">
        <v>1048</v>
      </c>
      <c r="C942" s="24">
        <v>37.13138</v>
      </c>
      <c r="D942" s="24">
        <v>50.298740000000002</v>
      </c>
    </row>
    <row r="943" spans="1:4" x14ac:dyDescent="0.3">
      <c r="B943" t="s">
        <v>1049</v>
      </c>
      <c r="C943" s="23">
        <v>31.447088999999998</v>
      </c>
      <c r="D943" s="23">
        <v>49.531419</v>
      </c>
    </row>
    <row r="944" spans="1:4" x14ac:dyDescent="0.3">
      <c r="B944" t="s">
        <v>1050</v>
      </c>
      <c r="C944" s="24">
        <v>38.077629999999999</v>
      </c>
      <c r="D944" s="24">
        <v>47.127479999999998</v>
      </c>
    </row>
    <row r="945" spans="2:4" x14ac:dyDescent="0.3">
      <c r="B945" t="s">
        <v>1051</v>
      </c>
      <c r="C945" s="23">
        <v>37.723163999999997</v>
      </c>
      <c r="D945" s="25">
        <v>46.941499999999998</v>
      </c>
    </row>
    <row r="946" spans="2:4" x14ac:dyDescent="0.3">
      <c r="B946" t="s">
        <v>1052</v>
      </c>
      <c r="C946" s="23">
        <v>36.541941999999999</v>
      </c>
      <c r="D946" s="23">
        <v>52.681435999999998</v>
      </c>
    </row>
    <row r="947" spans="2:4" x14ac:dyDescent="0.3">
      <c r="B947" t="s">
        <v>1053</v>
      </c>
      <c r="C947" s="23">
        <v>37.421742000000002</v>
      </c>
      <c r="D947" s="23">
        <v>44.853893999999997</v>
      </c>
    </row>
    <row r="948" spans="2:4" x14ac:dyDescent="0.3">
      <c r="B948" t="s">
        <v>1054</v>
      </c>
      <c r="C948" s="23">
        <v>32.245238999999998</v>
      </c>
      <c r="D948" s="23">
        <v>48.812069000000001</v>
      </c>
    </row>
    <row r="949" spans="2:4" x14ac:dyDescent="0.3">
      <c r="B949" t="s">
        <v>1055</v>
      </c>
      <c r="C949" s="23">
        <v>36.209167000000001</v>
      </c>
      <c r="D949" s="23">
        <v>45.551389</v>
      </c>
    </row>
    <row r="950" spans="2:4" x14ac:dyDescent="0.3">
      <c r="B950" t="s">
        <v>1056</v>
      </c>
      <c r="C950" s="23">
        <v>36.722931000000003</v>
      </c>
      <c r="D950" s="23">
        <v>51.107168999999999</v>
      </c>
    </row>
    <row r="951" spans="2:4" x14ac:dyDescent="0.3">
      <c r="B951" t="s">
        <v>1057</v>
      </c>
      <c r="C951" s="23">
        <v>32.044386000000003</v>
      </c>
      <c r="D951" s="23">
        <v>48.854911000000001</v>
      </c>
    </row>
    <row r="952" spans="2:4" x14ac:dyDescent="0.3">
      <c r="B952" t="s">
        <v>1058</v>
      </c>
      <c r="C952" s="23">
        <v>37.039696999999997</v>
      </c>
      <c r="D952" s="23">
        <v>50.403903</v>
      </c>
    </row>
    <row r="953" spans="2:4" x14ac:dyDescent="0.3">
      <c r="B953" t="s">
        <v>1059</v>
      </c>
      <c r="C953" s="23">
        <v>36.693781000000001</v>
      </c>
      <c r="D953" s="23">
        <v>53.540931</v>
      </c>
    </row>
    <row r="954" spans="2:4" x14ac:dyDescent="0.3">
      <c r="B954" t="s">
        <v>1060</v>
      </c>
      <c r="C954" s="23">
        <v>39.348669000000001</v>
      </c>
      <c r="D954" s="24">
        <v>45.069949999999999</v>
      </c>
    </row>
    <row r="955" spans="2:4" x14ac:dyDescent="0.3">
      <c r="B955" t="s">
        <v>1061</v>
      </c>
      <c r="C955" s="23">
        <v>31.460819000000001</v>
      </c>
      <c r="D955" s="24">
        <v>48.074950000000001</v>
      </c>
    </row>
    <row r="956" spans="2:4" x14ac:dyDescent="0.3">
      <c r="B956" t="s">
        <v>1062</v>
      </c>
      <c r="C956" s="23">
        <v>31.836161000000001</v>
      </c>
      <c r="D956" s="23">
        <v>49.869981000000003</v>
      </c>
    </row>
    <row r="957" spans="2:4" x14ac:dyDescent="0.3">
      <c r="B957" t="s">
        <v>1063</v>
      </c>
      <c r="C957" s="25">
        <v>38.581899999999997</v>
      </c>
      <c r="D957" s="25">
        <v>44.831200000000003</v>
      </c>
    </row>
    <row r="958" spans="2:4" x14ac:dyDescent="0.3">
      <c r="B958" t="s">
        <v>1064</v>
      </c>
      <c r="C958" s="23">
        <v>36.889189000000002</v>
      </c>
      <c r="D958" s="25">
        <v>50.696100000000001</v>
      </c>
    </row>
    <row r="959" spans="2:4" x14ac:dyDescent="0.3">
      <c r="B959" t="s">
        <v>1065</v>
      </c>
      <c r="C959" s="23">
        <v>37.109960999999998</v>
      </c>
      <c r="D959" s="23">
        <v>50.113339000000003</v>
      </c>
    </row>
    <row r="960" spans="2:4" x14ac:dyDescent="0.3">
      <c r="B960" t="s">
        <v>1066</v>
      </c>
      <c r="C960" s="24">
        <v>37.19603</v>
      </c>
      <c r="D960" s="25">
        <v>50.151400000000002</v>
      </c>
    </row>
    <row r="961" spans="2:4" x14ac:dyDescent="0.3">
      <c r="B961" t="s">
        <v>1067</v>
      </c>
      <c r="C961" s="23">
        <v>32.499980999999998</v>
      </c>
      <c r="D961" s="25">
        <v>48.8367</v>
      </c>
    </row>
    <row r="962" spans="2:4" x14ac:dyDescent="0.3">
      <c r="B962" t="s">
        <v>1068</v>
      </c>
      <c r="C962" s="23">
        <v>38.318106</v>
      </c>
      <c r="D962" s="23">
        <v>45.357816999999997</v>
      </c>
    </row>
    <row r="963" spans="2:4" x14ac:dyDescent="0.3">
      <c r="B963" t="s">
        <v>1069</v>
      </c>
      <c r="C963" s="23">
        <v>36.985574999999997</v>
      </c>
      <c r="D963" s="23">
        <v>45.515253000000001</v>
      </c>
    </row>
    <row r="964" spans="2:4" x14ac:dyDescent="0.3">
      <c r="B964" t="s">
        <v>1070</v>
      </c>
      <c r="C964" s="23">
        <v>38.142980999999999</v>
      </c>
      <c r="D964" s="23">
        <v>45.626410999999997</v>
      </c>
    </row>
    <row r="965" spans="2:4" x14ac:dyDescent="0.3">
      <c r="B965" t="s">
        <v>1071</v>
      </c>
      <c r="C965" s="23">
        <v>33.780088999999997</v>
      </c>
      <c r="D965" s="24">
        <v>49.230649999999997</v>
      </c>
    </row>
    <row r="966" spans="2:4" x14ac:dyDescent="0.3">
      <c r="B966" t="s">
        <v>1072</v>
      </c>
      <c r="C966" s="23">
        <v>34.764355999999999</v>
      </c>
      <c r="D966" s="23">
        <v>46.154589000000001</v>
      </c>
    </row>
    <row r="967" spans="2:4" x14ac:dyDescent="0.3">
      <c r="B967" t="s">
        <v>1073</v>
      </c>
      <c r="C967" s="23">
        <v>37.903993999999997</v>
      </c>
      <c r="D967" s="23">
        <v>55.948731000000002</v>
      </c>
    </row>
    <row r="968" spans="2:4" x14ac:dyDescent="0.3">
      <c r="B968" t="s">
        <v>1074</v>
      </c>
      <c r="C968" s="23">
        <v>34.269939000000001</v>
      </c>
      <c r="D968" s="23">
        <v>46.807102999999998</v>
      </c>
    </row>
    <row r="969" spans="2:4" x14ac:dyDescent="0.3">
      <c r="B969" t="s">
        <v>1075</v>
      </c>
      <c r="C969" s="23">
        <v>39.329932999999997</v>
      </c>
      <c r="D969" s="23">
        <v>44.153968999999996</v>
      </c>
    </row>
    <row r="970" spans="2:4" x14ac:dyDescent="0.3">
      <c r="B970" t="s">
        <v>1076</v>
      </c>
      <c r="C970" s="23">
        <v>38.889130999999999</v>
      </c>
      <c r="D970" s="23">
        <v>45.030689000000002</v>
      </c>
    </row>
    <row r="971" spans="2:4" x14ac:dyDescent="0.3">
      <c r="B971" t="s">
        <v>1077</v>
      </c>
      <c r="C971" s="23">
        <v>36.068024999999999</v>
      </c>
      <c r="D971" s="23">
        <v>52.834671999999998</v>
      </c>
    </row>
    <row r="972" spans="2:4" x14ac:dyDescent="0.3">
      <c r="B972" t="s">
        <v>1078</v>
      </c>
      <c r="C972" s="23">
        <v>28.412680999999999</v>
      </c>
      <c r="D972" s="23">
        <v>53.104410999999999</v>
      </c>
    </row>
    <row r="973" spans="2:4" x14ac:dyDescent="0.3">
      <c r="B973" t="s">
        <v>1079</v>
      </c>
      <c r="C973" s="23">
        <v>30.236568999999999</v>
      </c>
      <c r="D973" s="23">
        <v>49.714418999999999</v>
      </c>
    </row>
    <row r="974" spans="2:4" x14ac:dyDescent="0.3">
      <c r="B974" t="s">
        <v>1080</v>
      </c>
      <c r="C974" s="23">
        <v>37.779657999999998</v>
      </c>
      <c r="D974" s="23">
        <v>45.903993999999997</v>
      </c>
    </row>
    <row r="975" spans="2:4" x14ac:dyDescent="0.3">
      <c r="B975" t="s">
        <v>1081</v>
      </c>
      <c r="C975" s="23">
        <v>29.360931000000001</v>
      </c>
      <c r="D975" s="23">
        <v>51.071911</v>
      </c>
    </row>
    <row r="976" spans="2:4" x14ac:dyDescent="0.3">
      <c r="B976" t="s">
        <v>1082</v>
      </c>
      <c r="C976" s="23">
        <v>25.646939</v>
      </c>
      <c r="D976" s="25">
        <v>57.7742</v>
      </c>
    </row>
    <row r="977" spans="2:4" x14ac:dyDescent="0.3">
      <c r="B977" t="s">
        <v>1083</v>
      </c>
      <c r="C977" s="25">
        <v>31.597100000000001</v>
      </c>
      <c r="D977" s="25">
        <v>47.892299999999999</v>
      </c>
    </row>
    <row r="978" spans="2:4" x14ac:dyDescent="0.3">
      <c r="B978" t="s">
        <v>1084</v>
      </c>
      <c r="C978" s="23">
        <v>31.557269000000002</v>
      </c>
      <c r="D978" s="24">
        <v>48.185850000000002</v>
      </c>
    </row>
    <row r="979" spans="2:4" x14ac:dyDescent="0.3">
      <c r="B979" t="s">
        <v>1085</v>
      </c>
      <c r="C979" s="23">
        <v>34.293225</v>
      </c>
      <c r="D979" s="23">
        <v>49.856968999999999</v>
      </c>
    </row>
    <row r="980" spans="2:4" x14ac:dyDescent="0.3">
      <c r="B980" t="s">
        <v>1086</v>
      </c>
      <c r="C980" s="23">
        <v>34.110988999999996</v>
      </c>
      <c r="D980" s="23">
        <v>46.528680999999999</v>
      </c>
    </row>
    <row r="981" spans="2:4" x14ac:dyDescent="0.3">
      <c r="B981" t="s">
        <v>1087</v>
      </c>
      <c r="C981" s="24">
        <v>34.053469999999997</v>
      </c>
      <c r="D981" s="24">
        <v>49.619239999999998</v>
      </c>
    </row>
    <row r="982" spans="2:4" x14ac:dyDescent="0.3">
      <c r="B982" t="s">
        <v>1088</v>
      </c>
      <c r="C982" s="23">
        <v>36.289633000000002</v>
      </c>
      <c r="D982" s="23">
        <v>52.890780999999997</v>
      </c>
    </row>
    <row r="983" spans="2:4" x14ac:dyDescent="0.3">
      <c r="B983" t="s">
        <v>1089</v>
      </c>
      <c r="C983" s="24">
        <v>35.301160000000003</v>
      </c>
      <c r="D983" s="24">
        <v>50.507350000000002</v>
      </c>
    </row>
    <row r="984" spans="2:4" x14ac:dyDescent="0.3">
      <c r="B984" t="s">
        <v>1090</v>
      </c>
      <c r="C984" s="23">
        <v>37.736046999999999</v>
      </c>
      <c r="D984" s="23">
        <v>48.942297000000003</v>
      </c>
    </row>
    <row r="985" spans="2:4" x14ac:dyDescent="0.3">
      <c r="B985" t="s">
        <v>1091</v>
      </c>
      <c r="C985" s="23">
        <v>38.434161000000003</v>
      </c>
      <c r="D985" s="23">
        <v>48.868144000000001</v>
      </c>
    </row>
    <row r="986" spans="2:4" x14ac:dyDescent="0.3">
      <c r="B986" t="s">
        <v>1092</v>
      </c>
      <c r="C986" s="23">
        <v>35.880647000000003</v>
      </c>
      <c r="D986" s="23">
        <v>52.168686000000001</v>
      </c>
    </row>
    <row r="987" spans="2:4" x14ac:dyDescent="0.3">
      <c r="B987" t="s">
        <v>1093</v>
      </c>
      <c r="C987" s="24">
        <v>37.278320000000001</v>
      </c>
      <c r="D987" s="24">
        <v>49.772730000000003</v>
      </c>
    </row>
    <row r="988" spans="2:4" x14ac:dyDescent="0.3">
      <c r="B988" t="s">
        <v>1094</v>
      </c>
      <c r="C988" s="24">
        <v>37.550510000000003</v>
      </c>
      <c r="D988" s="24">
        <v>45.065460000000002</v>
      </c>
    </row>
    <row r="989" spans="2:4" x14ac:dyDescent="0.3">
      <c r="B989" t="s">
        <v>1095</v>
      </c>
      <c r="C989" s="24">
        <v>34.040550000000003</v>
      </c>
      <c r="D989" s="23">
        <v>49.283889000000002</v>
      </c>
    </row>
    <row r="990" spans="2:4" x14ac:dyDescent="0.3">
      <c r="B990" t="s">
        <v>1096</v>
      </c>
      <c r="C990" s="23">
        <v>34.781672</v>
      </c>
      <c r="D990" s="23">
        <v>47.593961</v>
      </c>
    </row>
    <row r="991" spans="2:4" x14ac:dyDescent="0.3">
      <c r="B991" t="s">
        <v>1097</v>
      </c>
      <c r="C991" s="23">
        <v>37.845866999999998</v>
      </c>
      <c r="D991" s="23">
        <v>45.971660999999997</v>
      </c>
    </row>
    <row r="992" spans="2:4" x14ac:dyDescent="0.3">
      <c r="B992" t="s">
        <v>1098</v>
      </c>
      <c r="C992" s="23">
        <v>30.876239000000002</v>
      </c>
      <c r="D992" s="23">
        <v>49.848680999999999</v>
      </c>
    </row>
    <row r="993" spans="2:4" x14ac:dyDescent="0.3">
      <c r="B993" t="s">
        <v>1099</v>
      </c>
      <c r="C993" s="25">
        <v>36.5732</v>
      </c>
      <c r="D993" s="25">
        <v>51.966500000000003</v>
      </c>
    </row>
    <row r="994" spans="2:4" x14ac:dyDescent="0.3">
      <c r="B994" t="s">
        <v>1100</v>
      </c>
      <c r="C994" s="24">
        <v>35.465449999999997</v>
      </c>
      <c r="D994" s="24">
        <v>50.97578</v>
      </c>
    </row>
    <row r="995" spans="2:4" x14ac:dyDescent="0.3">
      <c r="B995" t="s">
        <v>1101</v>
      </c>
      <c r="C995" s="23">
        <v>37.339494000000002</v>
      </c>
      <c r="D995" s="23">
        <v>46.056108000000002</v>
      </c>
    </row>
    <row r="996" spans="2:4" x14ac:dyDescent="0.3">
      <c r="B996" t="s">
        <v>1102</v>
      </c>
      <c r="C996" s="23">
        <v>36.506960999999997</v>
      </c>
      <c r="D996" s="23">
        <v>51.159022</v>
      </c>
    </row>
    <row r="997" spans="2:4" x14ac:dyDescent="0.3">
      <c r="B997" t="s">
        <v>1103</v>
      </c>
      <c r="C997" s="23">
        <v>36.652661000000002</v>
      </c>
      <c r="D997" s="23">
        <v>51.420780999999998</v>
      </c>
    </row>
    <row r="998" spans="2:4" x14ac:dyDescent="0.3">
      <c r="B998" t="s">
        <v>1104</v>
      </c>
      <c r="C998" s="23">
        <v>31.875471999999998</v>
      </c>
      <c r="D998" s="23">
        <v>48.339708000000002</v>
      </c>
    </row>
    <row r="999" spans="2:4" x14ac:dyDescent="0.3">
      <c r="B999" t="s">
        <v>1105</v>
      </c>
      <c r="C999" s="23">
        <v>37.762788999999998</v>
      </c>
      <c r="D999" s="23">
        <v>45.053797000000003</v>
      </c>
    </row>
    <row r="1000" spans="2:4" x14ac:dyDescent="0.3">
      <c r="B1000" t="s">
        <v>1106</v>
      </c>
      <c r="C1000" s="23">
        <v>38.523339</v>
      </c>
      <c r="D1000" s="23">
        <v>45.644781000000002</v>
      </c>
    </row>
    <row r="1001" spans="2:4" x14ac:dyDescent="0.3">
      <c r="B1001" t="s">
        <v>1107</v>
      </c>
      <c r="C1001" s="23">
        <v>37.280155999999998</v>
      </c>
      <c r="D1001" s="23">
        <v>49.354793999999998</v>
      </c>
    </row>
    <row r="1002" spans="2:4" x14ac:dyDescent="0.3">
      <c r="B1002" t="s">
        <v>1108</v>
      </c>
      <c r="C1002" s="23">
        <v>37.126263999999999</v>
      </c>
      <c r="D1002" s="25">
        <v>45.979300000000002</v>
      </c>
    </row>
    <row r="1003" spans="2:4" x14ac:dyDescent="0.3">
      <c r="B1003" t="s">
        <v>1109</v>
      </c>
      <c r="C1003" s="25">
        <v>34.056199999999997</v>
      </c>
      <c r="D1003" s="25">
        <v>49.642400000000002</v>
      </c>
    </row>
    <row r="1004" spans="2:4" x14ac:dyDescent="0.3">
      <c r="B1004" t="s">
        <v>1110</v>
      </c>
      <c r="C1004" s="23">
        <v>36.515292000000002</v>
      </c>
      <c r="D1004" s="23">
        <v>52.481907999999997</v>
      </c>
    </row>
    <row r="1005" spans="2:4" x14ac:dyDescent="0.3">
      <c r="B1005" t="s">
        <v>1111</v>
      </c>
      <c r="C1005" s="23">
        <v>35.046619</v>
      </c>
      <c r="D1005" s="23">
        <v>46.362518999999999</v>
      </c>
    </row>
    <row r="1006" spans="2:4" x14ac:dyDescent="0.3">
      <c r="B1006" t="s">
        <v>1112</v>
      </c>
      <c r="C1006" s="25">
        <v>32.680100000000003</v>
      </c>
      <c r="D1006" s="24">
        <v>48.248350000000002</v>
      </c>
    </row>
    <row r="1007" spans="2:4" x14ac:dyDescent="0.3">
      <c r="B1007" t="s">
        <v>1113</v>
      </c>
      <c r="C1007" s="24">
        <v>27.843669999999999</v>
      </c>
      <c r="D1007" s="24">
        <v>51.946260000000002</v>
      </c>
    </row>
    <row r="1008" spans="2:4" x14ac:dyDescent="0.3">
      <c r="B1008" t="s">
        <v>1114</v>
      </c>
      <c r="C1008" s="23">
        <v>36.202616999999996</v>
      </c>
      <c r="D1008" s="23">
        <v>51.808996999999998</v>
      </c>
    </row>
    <row r="1009" spans="2:4" x14ac:dyDescent="0.3">
      <c r="B1009" t="s">
        <v>1115</v>
      </c>
      <c r="C1009" s="24">
        <v>37.373019999999997</v>
      </c>
      <c r="D1009" s="24">
        <v>49.757660000000001</v>
      </c>
    </row>
    <row r="1010" spans="2:4" x14ac:dyDescent="0.3">
      <c r="B1010" t="s">
        <v>1116</v>
      </c>
      <c r="C1010" s="23">
        <v>38.687761000000002</v>
      </c>
      <c r="D1010" s="24">
        <v>46.170050000000003</v>
      </c>
    </row>
    <row r="1011" spans="2:4" x14ac:dyDescent="0.3">
      <c r="B1011" t="s">
        <v>1117</v>
      </c>
      <c r="C1011" s="24">
        <v>35.330649999999999</v>
      </c>
      <c r="D1011" s="23">
        <v>49.957968999999999</v>
      </c>
    </row>
    <row r="1012" spans="2:4" x14ac:dyDescent="0.3">
      <c r="B1012" t="s">
        <v>1118</v>
      </c>
      <c r="C1012" s="23">
        <v>37.254888999999999</v>
      </c>
      <c r="D1012" s="23">
        <v>50.003272000000003</v>
      </c>
    </row>
    <row r="1013" spans="2:4" x14ac:dyDescent="0.3">
      <c r="B1013" t="s">
        <v>1119</v>
      </c>
      <c r="C1013" s="23">
        <v>38.174380999999997</v>
      </c>
      <c r="D1013" s="23">
        <v>44.689357999999999</v>
      </c>
    </row>
    <row r="1014" spans="2:4" x14ac:dyDescent="0.3">
      <c r="B1014" t="s">
        <v>1021</v>
      </c>
      <c r="C1014" s="25">
        <v>36.780299999999997</v>
      </c>
      <c r="D1014" s="23">
        <v>46.439272000000003</v>
      </c>
    </row>
    <row r="1015" spans="2:4" x14ac:dyDescent="0.3">
      <c r="B1015" t="s">
        <v>1120</v>
      </c>
      <c r="C1015" s="23">
        <v>32.458089000000001</v>
      </c>
      <c r="D1015" s="24">
        <v>48.35615</v>
      </c>
    </row>
    <row r="1016" spans="2:4" x14ac:dyDescent="0.3">
      <c r="B1016" t="s">
        <v>1121</v>
      </c>
      <c r="C1016" s="23">
        <v>37.475952999999997</v>
      </c>
      <c r="D1016" s="23">
        <v>47.050035999999999</v>
      </c>
    </row>
    <row r="1017" spans="2:4" x14ac:dyDescent="0.3">
      <c r="B1017" t="s">
        <v>1122</v>
      </c>
      <c r="C1017" s="23">
        <v>34.515931000000002</v>
      </c>
      <c r="D1017" s="23">
        <v>45.582681000000001</v>
      </c>
    </row>
    <row r="1018" spans="2:4" x14ac:dyDescent="0.3">
      <c r="B1018" t="s">
        <v>1123</v>
      </c>
      <c r="C1018" s="24">
        <v>37.388770000000001</v>
      </c>
      <c r="D1018" s="24">
        <v>49.658239999999999</v>
      </c>
    </row>
    <row r="1019" spans="2:4" x14ac:dyDescent="0.3">
      <c r="B1019" t="s">
        <v>1124</v>
      </c>
      <c r="C1019" s="24">
        <v>37.957949999999997</v>
      </c>
      <c r="D1019" s="23">
        <v>48.908242000000001</v>
      </c>
    </row>
    <row r="1020" spans="2:4" x14ac:dyDescent="0.3">
      <c r="B1020" t="s">
        <v>1125</v>
      </c>
      <c r="C1020" s="23">
        <v>36.669652999999997</v>
      </c>
      <c r="D1020" s="23">
        <v>52.449052999999999</v>
      </c>
    </row>
    <row r="1021" spans="2:4" x14ac:dyDescent="0.3">
      <c r="B1021" t="s">
        <v>1126</v>
      </c>
      <c r="C1021" s="23">
        <v>36.888306</v>
      </c>
      <c r="D1021" s="23">
        <v>49.906410999999999</v>
      </c>
    </row>
    <row r="1022" spans="2:4" x14ac:dyDescent="0.3">
      <c r="B1022" t="s">
        <v>1127</v>
      </c>
      <c r="C1022" s="23">
        <v>37.152006</v>
      </c>
      <c r="D1022" s="23">
        <v>50.174514000000002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CJ28"/>
  <sheetViews>
    <sheetView topLeftCell="AB1" zoomScale="134" workbookViewId="0">
      <selection activeCell="AF19" sqref="AF11:AJ19"/>
    </sheetView>
  </sheetViews>
  <sheetFormatPr defaultRowHeight="14.4" x14ac:dyDescent="0.3"/>
  <sheetData>
    <row r="1" spans="1:88" x14ac:dyDescent="0.3">
      <c r="A1" t="s">
        <v>1199</v>
      </c>
      <c r="E1" t="s">
        <v>1200</v>
      </c>
      <c r="J1" t="s">
        <v>7</v>
      </c>
      <c r="N1" t="s">
        <v>1201</v>
      </c>
      <c r="R1" t="s">
        <v>1202</v>
      </c>
      <c r="V1" t="s">
        <v>62</v>
      </c>
      <c r="Z1" t="s">
        <v>1203</v>
      </c>
      <c r="AB1" t="s">
        <v>1204</v>
      </c>
      <c r="AD1" t="s">
        <v>1205</v>
      </c>
      <c r="AF1" t="s">
        <v>1206</v>
      </c>
      <c r="AK1" t="s">
        <v>1207</v>
      </c>
      <c r="AQ1" t="s">
        <v>1244</v>
      </c>
      <c r="AT1" t="s">
        <v>1245</v>
      </c>
      <c r="AW1" t="s">
        <v>1246</v>
      </c>
      <c r="AZ1" t="s">
        <v>1247</v>
      </c>
      <c r="BC1" t="s">
        <v>1208</v>
      </c>
      <c r="BE1" t="s">
        <v>1209</v>
      </c>
      <c r="BG1" t="s">
        <v>1210</v>
      </c>
      <c r="BI1" t="s">
        <v>1211</v>
      </c>
      <c r="BK1" t="s">
        <v>1212</v>
      </c>
      <c r="BM1" t="s">
        <v>1213</v>
      </c>
      <c r="BO1" t="s">
        <v>1214</v>
      </c>
      <c r="BQ1" t="s">
        <v>1215</v>
      </c>
      <c r="BS1" t="s">
        <v>1216</v>
      </c>
      <c r="BU1" t="s">
        <v>1217</v>
      </c>
      <c r="BW1" t="s">
        <v>1218</v>
      </c>
      <c r="BY1" t="s">
        <v>1219</v>
      </c>
      <c r="CA1" t="s">
        <v>1220</v>
      </c>
      <c r="CE1" t="s">
        <v>1221</v>
      </c>
      <c r="CH1" t="s">
        <v>1222</v>
      </c>
    </row>
    <row r="2" spans="1:88" hidden="1" x14ac:dyDescent="0.3">
      <c r="A2" t="s">
        <v>1223</v>
      </c>
      <c r="B2" t="s">
        <v>1224</v>
      </c>
      <c r="C2" t="s">
        <v>1225</v>
      </c>
      <c r="D2">
        <v>0</v>
      </c>
      <c r="E2" t="s">
        <v>1228</v>
      </c>
      <c r="F2" t="s">
        <v>1224</v>
      </c>
      <c r="G2" t="s">
        <v>1229</v>
      </c>
      <c r="H2" t="s">
        <v>1225</v>
      </c>
      <c r="I2">
        <v>0</v>
      </c>
      <c r="J2" t="s">
        <v>1231</v>
      </c>
      <c r="K2" t="s">
        <v>1224</v>
      </c>
      <c r="L2" t="s">
        <v>1225</v>
      </c>
      <c r="M2">
        <v>0</v>
      </c>
      <c r="N2" t="s">
        <v>1232</v>
      </c>
      <c r="O2" t="s">
        <v>1224</v>
      </c>
      <c r="P2" t="s">
        <v>1225</v>
      </c>
      <c r="Q2">
        <v>0</v>
      </c>
      <c r="R2" t="s">
        <v>1233</v>
      </c>
      <c r="S2" t="s">
        <v>1224</v>
      </c>
      <c r="T2" t="s">
        <v>1225</v>
      </c>
      <c r="U2">
        <v>0</v>
      </c>
      <c r="V2" t="s">
        <v>1234</v>
      </c>
      <c r="W2" t="s">
        <v>1224</v>
      </c>
      <c r="X2" t="s">
        <v>1225</v>
      </c>
      <c r="Y2">
        <v>0</v>
      </c>
      <c r="Z2" t="s">
        <v>1235</v>
      </c>
      <c r="AA2">
        <v>1</v>
      </c>
      <c r="AB2" t="s">
        <v>1235</v>
      </c>
      <c r="AC2">
        <v>1</v>
      </c>
      <c r="AD2" t="s">
        <v>1235</v>
      </c>
      <c r="AE2">
        <v>1</v>
      </c>
      <c r="AF2" t="s">
        <v>1228</v>
      </c>
      <c r="AG2" t="s">
        <v>1223</v>
      </c>
      <c r="AH2" t="s">
        <v>1225</v>
      </c>
      <c r="AI2" t="s">
        <v>1235</v>
      </c>
      <c r="AJ2">
        <v>0</v>
      </c>
      <c r="AK2" t="s">
        <v>1237</v>
      </c>
      <c r="AL2" t="s">
        <v>1238</v>
      </c>
      <c r="AM2" t="s">
        <v>1228</v>
      </c>
      <c r="AN2" t="s">
        <v>1225</v>
      </c>
      <c r="AO2" t="s">
        <v>1235</v>
      </c>
      <c r="AP2">
        <v>0</v>
      </c>
      <c r="AQ2" t="s">
        <v>1223</v>
      </c>
      <c r="AR2" t="s">
        <v>1225</v>
      </c>
      <c r="AS2">
        <v>0</v>
      </c>
      <c r="AT2" t="s">
        <v>1223</v>
      </c>
      <c r="AU2" t="s">
        <v>1225</v>
      </c>
      <c r="AV2">
        <v>0</v>
      </c>
      <c r="AW2" t="s">
        <v>1223</v>
      </c>
      <c r="AX2" t="s">
        <v>1225</v>
      </c>
      <c r="AY2">
        <v>0</v>
      </c>
      <c r="AZ2" t="s">
        <v>1223</v>
      </c>
      <c r="BA2" t="s">
        <v>1225</v>
      </c>
      <c r="BB2">
        <v>0</v>
      </c>
      <c r="BC2" t="s">
        <v>1231</v>
      </c>
      <c r="BD2">
        <v>113766.67002646074</v>
      </c>
      <c r="BE2" t="s">
        <v>1231</v>
      </c>
      <c r="BF2">
        <v>40115.034798279507</v>
      </c>
      <c r="BG2" t="s">
        <v>1225</v>
      </c>
      <c r="BH2">
        <v>0</v>
      </c>
      <c r="BI2" t="s">
        <v>1231</v>
      </c>
      <c r="BJ2">
        <v>10413.223140495866</v>
      </c>
      <c r="BK2" t="s">
        <v>1231</v>
      </c>
      <c r="BL2">
        <v>8993.3884297520744</v>
      </c>
      <c r="BM2" t="s">
        <v>1231</v>
      </c>
      <c r="BN2">
        <v>94140.488208278926</v>
      </c>
      <c r="BO2" t="s">
        <v>1231</v>
      </c>
      <c r="BP2">
        <v>5207.6033057851237</v>
      </c>
      <c r="BQ2" t="s">
        <v>1231</v>
      </c>
      <c r="BR2">
        <v>4988.0330578512385</v>
      </c>
      <c r="BS2" t="s">
        <v>1225</v>
      </c>
      <c r="BT2">
        <v>0</v>
      </c>
      <c r="BU2" t="s">
        <v>1225</v>
      </c>
      <c r="BV2">
        <v>0</v>
      </c>
      <c r="BW2" t="s">
        <v>1225</v>
      </c>
      <c r="BX2">
        <v>0</v>
      </c>
      <c r="BY2" t="s">
        <v>1225</v>
      </c>
      <c r="BZ2">
        <v>0</v>
      </c>
      <c r="CA2" t="s">
        <v>1228</v>
      </c>
      <c r="CB2" t="s">
        <v>1229</v>
      </c>
      <c r="CC2" t="s">
        <v>1225</v>
      </c>
      <c r="CD2">
        <v>0</v>
      </c>
      <c r="CE2" t="s">
        <v>1239</v>
      </c>
      <c r="CF2" t="s">
        <v>1225</v>
      </c>
      <c r="CG2">
        <v>0</v>
      </c>
      <c r="CH2" t="s">
        <v>1239</v>
      </c>
      <c r="CI2" t="s">
        <v>1225</v>
      </c>
      <c r="CJ2">
        <v>1</v>
      </c>
    </row>
    <row r="3" spans="1:88" hidden="1" x14ac:dyDescent="0.3">
      <c r="A3" t="s">
        <v>1223</v>
      </c>
      <c r="B3" t="s">
        <v>1224</v>
      </c>
      <c r="C3" t="s">
        <v>1226</v>
      </c>
      <c r="D3">
        <v>1</v>
      </c>
      <c r="E3" t="s">
        <v>1228</v>
      </c>
      <c r="F3" t="s">
        <v>1224</v>
      </c>
      <c r="G3" t="s">
        <v>1229</v>
      </c>
      <c r="H3" t="s">
        <v>1226</v>
      </c>
      <c r="I3">
        <v>0</v>
      </c>
      <c r="J3" t="s">
        <v>1231</v>
      </c>
      <c r="K3" t="s">
        <v>1224</v>
      </c>
      <c r="L3" t="s">
        <v>1226</v>
      </c>
      <c r="M3">
        <v>0</v>
      </c>
      <c r="N3" t="s">
        <v>1232</v>
      </c>
      <c r="O3" t="s">
        <v>1224</v>
      </c>
      <c r="P3" t="s">
        <v>1226</v>
      </c>
      <c r="Q3">
        <v>0</v>
      </c>
      <c r="R3" t="s">
        <v>1233</v>
      </c>
      <c r="S3" t="s">
        <v>1224</v>
      </c>
      <c r="T3" t="s">
        <v>1226</v>
      </c>
      <c r="U3">
        <v>1</v>
      </c>
      <c r="V3" t="s">
        <v>1234</v>
      </c>
      <c r="W3" t="s">
        <v>1224</v>
      </c>
      <c r="X3" t="s">
        <v>1226</v>
      </c>
      <c r="Y3">
        <v>0</v>
      </c>
      <c r="AF3" t="s">
        <v>1230</v>
      </c>
      <c r="AG3" t="s">
        <v>1223</v>
      </c>
      <c r="AH3" t="s">
        <v>1225</v>
      </c>
      <c r="AI3" t="s">
        <v>1235</v>
      </c>
      <c r="AJ3">
        <v>0</v>
      </c>
      <c r="AK3" t="s">
        <v>1237</v>
      </c>
      <c r="AL3" t="s">
        <v>1238</v>
      </c>
      <c r="AM3" t="s">
        <v>1230</v>
      </c>
      <c r="AN3" t="s">
        <v>1225</v>
      </c>
      <c r="AO3" t="s">
        <v>1235</v>
      </c>
      <c r="AP3">
        <v>0</v>
      </c>
      <c r="AQ3" t="s">
        <v>1223</v>
      </c>
      <c r="AR3" t="s">
        <v>1226</v>
      </c>
      <c r="AS3">
        <v>0</v>
      </c>
      <c r="AT3" t="s">
        <v>1223</v>
      </c>
      <c r="AU3" t="s">
        <v>1226</v>
      </c>
      <c r="AV3">
        <v>30</v>
      </c>
      <c r="AW3" t="s">
        <v>1223</v>
      </c>
      <c r="AX3" t="s">
        <v>1226</v>
      </c>
      <c r="AY3">
        <v>40</v>
      </c>
      <c r="AZ3" t="s">
        <v>1223</v>
      </c>
      <c r="BA3" t="s">
        <v>1226</v>
      </c>
      <c r="BB3">
        <v>0</v>
      </c>
      <c r="BG3" t="s">
        <v>1226</v>
      </c>
      <c r="BH3">
        <v>7087.5355671730676</v>
      </c>
      <c r="BS3" t="s">
        <v>1226</v>
      </c>
      <c r="BT3">
        <v>307.68838917932669</v>
      </c>
      <c r="BU3" t="s">
        <v>1226</v>
      </c>
      <c r="BV3">
        <v>7</v>
      </c>
      <c r="BW3" t="s">
        <v>1226</v>
      </c>
      <c r="BX3">
        <v>314.68838917932669</v>
      </c>
      <c r="BY3" t="s">
        <v>1226</v>
      </c>
      <c r="BZ3">
        <v>6000</v>
      </c>
      <c r="CA3" t="s">
        <v>1230</v>
      </c>
      <c r="CB3" t="s">
        <v>1229</v>
      </c>
      <c r="CC3" t="s">
        <v>1225</v>
      </c>
      <c r="CD3">
        <v>0</v>
      </c>
      <c r="CE3" t="s">
        <v>1239</v>
      </c>
      <c r="CF3" t="s">
        <v>1226</v>
      </c>
      <c r="CG3">
        <v>100</v>
      </c>
      <c r="CH3" t="s">
        <v>1239</v>
      </c>
      <c r="CI3" t="s">
        <v>1226</v>
      </c>
      <c r="CJ3">
        <v>1</v>
      </c>
    </row>
    <row r="4" spans="1:88" hidden="1" x14ac:dyDescent="0.3">
      <c r="A4" t="s">
        <v>1223</v>
      </c>
      <c r="B4" t="s">
        <v>1224</v>
      </c>
      <c r="C4" t="s">
        <v>1227</v>
      </c>
      <c r="D4">
        <v>0</v>
      </c>
      <c r="E4" t="s">
        <v>1228</v>
      </c>
      <c r="F4" t="s">
        <v>1224</v>
      </c>
      <c r="G4" t="s">
        <v>1229</v>
      </c>
      <c r="H4" t="s">
        <v>1227</v>
      </c>
      <c r="I4">
        <v>0</v>
      </c>
      <c r="J4" t="s">
        <v>1231</v>
      </c>
      <c r="K4" t="s">
        <v>1224</v>
      </c>
      <c r="L4" t="s">
        <v>1227</v>
      </c>
      <c r="M4">
        <v>1</v>
      </c>
      <c r="N4" t="s">
        <v>1232</v>
      </c>
      <c r="O4" t="s">
        <v>1224</v>
      </c>
      <c r="P4" t="s">
        <v>1227</v>
      </c>
      <c r="Q4">
        <v>1</v>
      </c>
      <c r="R4" t="s">
        <v>1233</v>
      </c>
      <c r="S4" t="s">
        <v>1224</v>
      </c>
      <c r="T4" t="s">
        <v>1227</v>
      </c>
      <c r="U4">
        <v>0</v>
      </c>
      <c r="V4" t="s">
        <v>1234</v>
      </c>
      <c r="W4" t="s">
        <v>1224</v>
      </c>
      <c r="X4" t="s">
        <v>1227</v>
      </c>
      <c r="Y4">
        <v>0.99999999999999978</v>
      </c>
      <c r="AF4" t="s">
        <v>1223</v>
      </c>
      <c r="AG4" t="s">
        <v>1236</v>
      </c>
      <c r="AH4" t="s">
        <v>1225</v>
      </c>
      <c r="AI4" t="s">
        <v>1235</v>
      </c>
      <c r="AJ4">
        <v>0</v>
      </c>
      <c r="AK4" t="s">
        <v>1237</v>
      </c>
      <c r="AL4" t="s">
        <v>1238</v>
      </c>
      <c r="AM4" t="s">
        <v>1234</v>
      </c>
      <c r="AN4" t="s">
        <v>1225</v>
      </c>
      <c r="AO4" t="s">
        <v>1235</v>
      </c>
      <c r="AP4">
        <v>0</v>
      </c>
      <c r="AQ4" t="s">
        <v>1223</v>
      </c>
      <c r="AR4" t="s">
        <v>1227</v>
      </c>
      <c r="AS4">
        <v>0</v>
      </c>
      <c r="AT4" t="s">
        <v>1223</v>
      </c>
      <c r="AU4" t="s">
        <v>1227</v>
      </c>
      <c r="AV4">
        <v>0</v>
      </c>
      <c r="AW4" t="s">
        <v>1223</v>
      </c>
      <c r="AX4" t="s">
        <v>1227</v>
      </c>
      <c r="AY4">
        <v>20.000000000000114</v>
      </c>
      <c r="AZ4" t="s">
        <v>1223</v>
      </c>
      <c r="BA4" t="s">
        <v>1227</v>
      </c>
      <c r="BB4">
        <v>-1.1368683772161603E-13</v>
      </c>
      <c r="BG4" t="s">
        <v>1227</v>
      </c>
      <c r="BH4">
        <v>26709.707168916633</v>
      </c>
      <c r="BS4" t="s">
        <v>1227</v>
      </c>
      <c r="BT4">
        <v>800.64267922291583</v>
      </c>
      <c r="BU4" t="s">
        <v>1227</v>
      </c>
      <c r="BV4">
        <v>4.6000000000000112</v>
      </c>
      <c r="BW4" t="s">
        <v>1227</v>
      </c>
      <c r="BX4">
        <v>805.24267922291585</v>
      </c>
      <c r="BY4" t="s">
        <v>1227</v>
      </c>
      <c r="BZ4">
        <v>6000</v>
      </c>
      <c r="CA4" t="s">
        <v>1228</v>
      </c>
      <c r="CB4" t="s">
        <v>1229</v>
      </c>
      <c r="CC4" t="s">
        <v>1226</v>
      </c>
      <c r="CD4">
        <v>0</v>
      </c>
      <c r="CE4" t="s">
        <v>1239</v>
      </c>
      <c r="CF4" t="s">
        <v>1227</v>
      </c>
      <c r="CG4">
        <v>100</v>
      </c>
      <c r="CH4" t="s">
        <v>1239</v>
      </c>
      <c r="CI4" t="s">
        <v>1227</v>
      </c>
      <c r="CJ4">
        <v>1</v>
      </c>
    </row>
    <row r="5" spans="1:88" hidden="1" x14ac:dyDescent="0.3">
      <c r="E5" t="s">
        <v>1230</v>
      </c>
      <c r="F5" t="s">
        <v>1224</v>
      </c>
      <c r="G5" t="s">
        <v>1229</v>
      </c>
      <c r="H5" t="s">
        <v>1225</v>
      </c>
      <c r="I5">
        <v>0</v>
      </c>
      <c r="AF5" t="s">
        <v>1236</v>
      </c>
      <c r="AG5" t="s">
        <v>1223</v>
      </c>
      <c r="AH5" t="s">
        <v>1225</v>
      </c>
      <c r="AI5" t="s">
        <v>1235</v>
      </c>
      <c r="AJ5">
        <v>0</v>
      </c>
      <c r="AK5" t="s">
        <v>1237</v>
      </c>
      <c r="AL5" t="s">
        <v>1232</v>
      </c>
      <c r="AM5" t="s">
        <v>1228</v>
      </c>
      <c r="AN5" t="s">
        <v>1225</v>
      </c>
      <c r="AO5" t="s">
        <v>1235</v>
      </c>
      <c r="AP5">
        <v>0</v>
      </c>
      <c r="CA5" t="s">
        <v>1230</v>
      </c>
      <c r="CB5" t="s">
        <v>1229</v>
      </c>
      <c r="CC5" t="s">
        <v>1226</v>
      </c>
      <c r="CD5">
        <v>70</v>
      </c>
      <c r="CE5" t="s">
        <v>1240</v>
      </c>
      <c r="CF5" t="s">
        <v>1225</v>
      </c>
      <c r="CG5">
        <v>0</v>
      </c>
      <c r="CH5" t="s">
        <v>1240</v>
      </c>
      <c r="CI5" t="s">
        <v>1225</v>
      </c>
      <c r="CJ5">
        <v>0</v>
      </c>
    </row>
    <row r="6" spans="1:88" hidden="1" x14ac:dyDescent="0.3">
      <c r="E6" t="s">
        <v>1230</v>
      </c>
      <c r="F6" t="s">
        <v>1224</v>
      </c>
      <c r="G6" t="s">
        <v>1229</v>
      </c>
      <c r="H6" t="s">
        <v>1226</v>
      </c>
      <c r="I6">
        <v>1</v>
      </c>
      <c r="AF6" t="s">
        <v>1223</v>
      </c>
      <c r="AG6" t="s">
        <v>1232</v>
      </c>
      <c r="AH6" t="s">
        <v>1225</v>
      </c>
      <c r="AI6" t="s">
        <v>1235</v>
      </c>
      <c r="AJ6">
        <v>0</v>
      </c>
      <c r="AK6" t="s">
        <v>1237</v>
      </c>
      <c r="AL6" t="s">
        <v>1232</v>
      </c>
      <c r="AM6" t="s">
        <v>1230</v>
      </c>
      <c r="AN6" t="s">
        <v>1225</v>
      </c>
      <c r="AO6" t="s">
        <v>1235</v>
      </c>
      <c r="AP6">
        <v>0</v>
      </c>
      <c r="CA6" t="s">
        <v>1228</v>
      </c>
      <c r="CB6" t="s">
        <v>1229</v>
      </c>
      <c r="CC6" t="s">
        <v>1227</v>
      </c>
      <c r="CD6">
        <v>0</v>
      </c>
      <c r="CE6" t="s">
        <v>1240</v>
      </c>
      <c r="CF6" t="s">
        <v>1226</v>
      </c>
      <c r="CG6">
        <v>50</v>
      </c>
      <c r="CH6" t="s">
        <v>1240</v>
      </c>
      <c r="CI6" t="s">
        <v>1226</v>
      </c>
      <c r="CJ6">
        <v>1</v>
      </c>
    </row>
    <row r="7" spans="1:88" hidden="1" x14ac:dyDescent="0.3">
      <c r="E7" t="s">
        <v>1230</v>
      </c>
      <c r="F7" t="s">
        <v>1224</v>
      </c>
      <c r="G7" t="s">
        <v>1229</v>
      </c>
      <c r="H7" t="s">
        <v>1227</v>
      </c>
      <c r="I7">
        <v>0</v>
      </c>
      <c r="AF7" t="s">
        <v>1223</v>
      </c>
      <c r="AG7" t="s">
        <v>1234</v>
      </c>
      <c r="AH7" t="s">
        <v>1225</v>
      </c>
      <c r="AI7" t="s">
        <v>1235</v>
      </c>
      <c r="AJ7">
        <v>0</v>
      </c>
      <c r="AK7" t="s">
        <v>1237</v>
      </c>
      <c r="AL7" t="s">
        <v>1232</v>
      </c>
      <c r="AM7" t="s">
        <v>1231</v>
      </c>
      <c r="AN7" t="s">
        <v>1225</v>
      </c>
      <c r="AO7" t="s">
        <v>1235</v>
      </c>
      <c r="AP7">
        <v>0</v>
      </c>
      <c r="CA7" t="s">
        <v>1230</v>
      </c>
      <c r="CB7" t="s">
        <v>1229</v>
      </c>
      <c r="CC7" t="s">
        <v>1227</v>
      </c>
      <c r="CD7">
        <v>46.000000000000114</v>
      </c>
      <c r="CE7" t="s">
        <v>1240</v>
      </c>
      <c r="CF7" t="s">
        <v>1227</v>
      </c>
      <c r="CG7">
        <v>50</v>
      </c>
      <c r="CH7" t="s">
        <v>1240</v>
      </c>
      <c r="CI7" t="s">
        <v>1227</v>
      </c>
      <c r="CJ7">
        <v>1</v>
      </c>
    </row>
    <row r="8" spans="1:88" hidden="1" x14ac:dyDescent="0.3">
      <c r="AF8" t="s">
        <v>1234</v>
      </c>
      <c r="AG8" t="s">
        <v>1223</v>
      </c>
      <c r="AH8" t="s">
        <v>1225</v>
      </c>
      <c r="AI8" t="s">
        <v>1235</v>
      </c>
      <c r="AJ8">
        <v>0</v>
      </c>
      <c r="AK8" t="s">
        <v>1237</v>
      </c>
      <c r="AL8" t="s">
        <v>1238</v>
      </c>
      <c r="AM8" t="s">
        <v>1228</v>
      </c>
      <c r="AN8" t="s">
        <v>1226</v>
      </c>
      <c r="AO8" t="s">
        <v>1235</v>
      </c>
      <c r="AP8">
        <v>0</v>
      </c>
      <c r="CE8" t="s">
        <v>1241</v>
      </c>
      <c r="CF8" t="s">
        <v>1225</v>
      </c>
      <c r="CG8">
        <v>0</v>
      </c>
      <c r="CH8" t="s">
        <v>1241</v>
      </c>
      <c r="CI8" t="s">
        <v>1225</v>
      </c>
      <c r="CJ8">
        <v>0</v>
      </c>
    </row>
    <row r="9" spans="1:88" hidden="1" x14ac:dyDescent="0.3">
      <c r="AF9" t="s">
        <v>1223</v>
      </c>
      <c r="AG9" t="s">
        <v>1233</v>
      </c>
      <c r="AH9" t="s">
        <v>1225</v>
      </c>
      <c r="AI9" t="s">
        <v>1235</v>
      </c>
      <c r="AJ9">
        <v>0</v>
      </c>
      <c r="AK9" t="s">
        <v>1237</v>
      </c>
      <c r="AL9" t="s">
        <v>1238</v>
      </c>
      <c r="AM9" t="s">
        <v>1230</v>
      </c>
      <c r="AN9" t="s">
        <v>1226</v>
      </c>
      <c r="AO9" t="s">
        <v>1235</v>
      </c>
      <c r="AP9">
        <v>70</v>
      </c>
      <c r="CE9" t="s">
        <v>1241</v>
      </c>
      <c r="CF9" t="s">
        <v>1226</v>
      </c>
      <c r="CG9">
        <v>150.00000000000006</v>
      </c>
      <c r="CH9" t="s">
        <v>1241</v>
      </c>
      <c r="CI9" t="s">
        <v>1226</v>
      </c>
      <c r="CJ9">
        <v>1</v>
      </c>
    </row>
    <row r="10" spans="1:88" hidden="1" x14ac:dyDescent="0.3">
      <c r="AF10" t="s">
        <v>1233</v>
      </c>
      <c r="AG10" t="s">
        <v>1223</v>
      </c>
      <c r="AH10" t="s">
        <v>1225</v>
      </c>
      <c r="AI10" t="s">
        <v>1235</v>
      </c>
      <c r="AJ10">
        <v>0</v>
      </c>
      <c r="AK10" t="s">
        <v>1237</v>
      </c>
      <c r="AL10" t="s">
        <v>1238</v>
      </c>
      <c r="AM10" t="s">
        <v>1234</v>
      </c>
      <c r="AN10" t="s">
        <v>1226</v>
      </c>
      <c r="AO10" t="s">
        <v>1235</v>
      </c>
      <c r="AP10">
        <v>0</v>
      </c>
      <c r="CE10" t="s">
        <v>1241</v>
      </c>
      <c r="CF10" t="s">
        <v>1227</v>
      </c>
      <c r="CG10">
        <v>150</v>
      </c>
      <c r="CH10" t="s">
        <v>1241</v>
      </c>
      <c r="CI10" t="s">
        <v>1227</v>
      </c>
      <c r="CJ10">
        <v>1</v>
      </c>
    </row>
    <row r="11" spans="1:88" hidden="1" x14ac:dyDescent="0.3">
      <c r="AF11" t="s">
        <v>1228</v>
      </c>
      <c r="AG11" t="s">
        <v>1223</v>
      </c>
      <c r="AH11" t="s">
        <v>1226</v>
      </c>
      <c r="AI11" t="s">
        <v>1235</v>
      </c>
      <c r="AJ11">
        <v>0</v>
      </c>
      <c r="AK11" t="s">
        <v>1237</v>
      </c>
      <c r="AL11" t="s">
        <v>1232</v>
      </c>
      <c r="AM11" t="s">
        <v>1228</v>
      </c>
      <c r="AN11" t="s">
        <v>1226</v>
      </c>
      <c r="AO11" t="s">
        <v>1235</v>
      </c>
      <c r="AP11">
        <v>0</v>
      </c>
      <c r="CE11" t="s">
        <v>1242</v>
      </c>
      <c r="CF11" t="s">
        <v>1225</v>
      </c>
      <c r="CG11">
        <v>0</v>
      </c>
    </row>
    <row r="12" spans="1:88" x14ac:dyDescent="0.3">
      <c r="AF12" t="s">
        <v>1230</v>
      </c>
      <c r="AG12" t="s">
        <v>1223</v>
      </c>
      <c r="AH12" t="s">
        <v>1226</v>
      </c>
      <c r="AI12" t="s">
        <v>1235</v>
      </c>
      <c r="AJ12">
        <v>70</v>
      </c>
      <c r="AK12" t="s">
        <v>1237</v>
      </c>
      <c r="AL12" t="s">
        <v>1232</v>
      </c>
      <c r="AM12" t="s">
        <v>1230</v>
      </c>
      <c r="AN12" t="s">
        <v>1226</v>
      </c>
      <c r="AO12" t="s">
        <v>1235</v>
      </c>
      <c r="AP12">
        <v>0</v>
      </c>
      <c r="CE12" t="s">
        <v>1242</v>
      </c>
      <c r="CF12" t="s">
        <v>1226</v>
      </c>
      <c r="CG12">
        <v>14.688389179326649</v>
      </c>
    </row>
    <row r="13" spans="1:88" x14ac:dyDescent="0.3">
      <c r="AF13" t="s">
        <v>1223</v>
      </c>
      <c r="AG13" t="s">
        <v>1236</v>
      </c>
      <c r="AH13" t="s">
        <v>1226</v>
      </c>
      <c r="AI13" t="s">
        <v>1235</v>
      </c>
      <c r="AJ13">
        <v>100</v>
      </c>
      <c r="AK13" t="s">
        <v>1237</v>
      </c>
      <c r="AL13" t="s">
        <v>1232</v>
      </c>
      <c r="AM13" t="s">
        <v>1231</v>
      </c>
      <c r="AN13" t="s">
        <v>1226</v>
      </c>
      <c r="AO13" t="s">
        <v>1235</v>
      </c>
      <c r="AP13">
        <v>0</v>
      </c>
      <c r="CE13" t="s">
        <v>1242</v>
      </c>
      <c r="CF13" t="s">
        <v>1227</v>
      </c>
      <c r="CG13">
        <v>505.24267922291585</v>
      </c>
    </row>
    <row r="14" spans="1:88" x14ac:dyDescent="0.3">
      <c r="AF14" t="s">
        <v>1236</v>
      </c>
      <c r="AG14" t="s">
        <v>1223</v>
      </c>
      <c r="AH14" t="s">
        <v>1226</v>
      </c>
      <c r="AI14" t="s">
        <v>1235</v>
      </c>
      <c r="AJ14">
        <v>100</v>
      </c>
      <c r="AK14" t="s">
        <v>1237</v>
      </c>
      <c r="AL14" t="s">
        <v>1238</v>
      </c>
      <c r="AM14" t="s">
        <v>1228</v>
      </c>
      <c r="AN14" t="s">
        <v>1227</v>
      </c>
      <c r="AO14" t="s">
        <v>1235</v>
      </c>
      <c r="AP14">
        <v>0</v>
      </c>
    </row>
    <row r="15" spans="1:88" x14ac:dyDescent="0.3">
      <c r="AF15" t="s">
        <v>1223</v>
      </c>
      <c r="AG15" t="s">
        <v>1232</v>
      </c>
      <c r="AH15" t="s">
        <v>1226</v>
      </c>
      <c r="AI15" t="s">
        <v>1235</v>
      </c>
      <c r="AJ15">
        <v>0</v>
      </c>
      <c r="AK15" t="s">
        <v>1237</v>
      </c>
      <c r="AL15" t="s">
        <v>1238</v>
      </c>
      <c r="AM15" t="s">
        <v>1230</v>
      </c>
      <c r="AN15" t="s">
        <v>1227</v>
      </c>
      <c r="AO15" t="s">
        <v>1235</v>
      </c>
      <c r="AP15">
        <v>45.040000000000113</v>
      </c>
    </row>
    <row r="16" spans="1:88" x14ac:dyDescent="0.3">
      <c r="AF16" t="s">
        <v>1223</v>
      </c>
      <c r="AG16" t="s">
        <v>1234</v>
      </c>
      <c r="AH16" t="s">
        <v>1226</v>
      </c>
      <c r="AI16" t="s">
        <v>1235</v>
      </c>
      <c r="AJ16">
        <v>0</v>
      </c>
      <c r="AK16" t="s">
        <v>1237</v>
      </c>
      <c r="AL16" t="s">
        <v>1238</v>
      </c>
      <c r="AM16" t="s">
        <v>1234</v>
      </c>
      <c r="AN16" t="s">
        <v>1227</v>
      </c>
      <c r="AO16" t="s">
        <v>1235</v>
      </c>
      <c r="AP16">
        <v>66.12</v>
      </c>
    </row>
    <row r="17" spans="32:42" x14ac:dyDescent="0.3">
      <c r="AF17" t="s">
        <v>1234</v>
      </c>
      <c r="AG17" t="s">
        <v>1223</v>
      </c>
      <c r="AH17" t="s">
        <v>1226</v>
      </c>
      <c r="AI17" t="s">
        <v>1235</v>
      </c>
      <c r="AJ17">
        <v>0</v>
      </c>
      <c r="AK17" t="s">
        <v>1237</v>
      </c>
      <c r="AL17" t="s">
        <v>1232</v>
      </c>
      <c r="AM17" t="s">
        <v>1228</v>
      </c>
      <c r="AN17" t="s">
        <v>1227</v>
      </c>
      <c r="AO17" t="s">
        <v>1235</v>
      </c>
      <c r="AP17">
        <v>0</v>
      </c>
    </row>
    <row r="18" spans="32:42" x14ac:dyDescent="0.3">
      <c r="AF18" t="s">
        <v>1223</v>
      </c>
      <c r="AG18" t="s">
        <v>1233</v>
      </c>
      <c r="AH18" t="s">
        <v>1226</v>
      </c>
      <c r="AI18" t="s">
        <v>1235</v>
      </c>
      <c r="AJ18">
        <v>30</v>
      </c>
      <c r="AK18" t="s">
        <v>1237</v>
      </c>
      <c r="AL18" t="s">
        <v>1232</v>
      </c>
      <c r="AM18" t="s">
        <v>1230</v>
      </c>
      <c r="AN18" t="s">
        <v>1227</v>
      </c>
      <c r="AO18" t="s">
        <v>1235</v>
      </c>
      <c r="AP18">
        <v>0.95999999999999885</v>
      </c>
    </row>
    <row r="19" spans="32:42" x14ac:dyDescent="0.3">
      <c r="AF19" t="s">
        <v>1233</v>
      </c>
      <c r="AG19" t="s">
        <v>1223</v>
      </c>
      <c r="AH19" t="s">
        <v>1226</v>
      </c>
      <c r="AI19" t="s">
        <v>1235</v>
      </c>
      <c r="AJ19">
        <v>30</v>
      </c>
      <c r="AK19" t="s">
        <v>1237</v>
      </c>
      <c r="AL19" t="s">
        <v>1232</v>
      </c>
      <c r="AM19" t="s">
        <v>1231</v>
      </c>
      <c r="AN19" t="s">
        <v>1227</v>
      </c>
      <c r="AO19" t="s">
        <v>1235</v>
      </c>
      <c r="AP19">
        <v>95.039999999999893</v>
      </c>
    </row>
    <row r="20" spans="32:42" hidden="1" x14ac:dyDescent="0.3">
      <c r="AF20" t="s">
        <v>1228</v>
      </c>
      <c r="AG20" t="s">
        <v>1223</v>
      </c>
      <c r="AH20" t="s">
        <v>1227</v>
      </c>
      <c r="AI20" t="s">
        <v>1235</v>
      </c>
      <c r="AJ20">
        <v>0</v>
      </c>
    </row>
    <row r="21" spans="32:42" x14ac:dyDescent="0.3">
      <c r="AF21" t="s">
        <v>1230</v>
      </c>
      <c r="AG21" t="s">
        <v>1223</v>
      </c>
      <c r="AH21" t="s">
        <v>1227</v>
      </c>
      <c r="AI21" t="s">
        <v>1235</v>
      </c>
      <c r="AJ21">
        <v>46.000000000000114</v>
      </c>
    </row>
    <row r="22" spans="32:42" x14ac:dyDescent="0.3">
      <c r="AF22" t="s">
        <v>1223</v>
      </c>
      <c r="AG22" t="s">
        <v>1236</v>
      </c>
      <c r="AH22" t="s">
        <v>1227</v>
      </c>
      <c r="AI22" t="s">
        <v>1235</v>
      </c>
      <c r="AJ22">
        <v>190</v>
      </c>
    </row>
    <row r="23" spans="32:42" x14ac:dyDescent="0.3">
      <c r="AF23" t="s">
        <v>1236</v>
      </c>
      <c r="AG23" t="s">
        <v>1223</v>
      </c>
      <c r="AH23" t="s">
        <v>1227</v>
      </c>
      <c r="AI23" t="s">
        <v>1235</v>
      </c>
      <c r="AJ23">
        <v>190</v>
      </c>
    </row>
    <row r="24" spans="32:42" x14ac:dyDescent="0.3">
      <c r="AF24" t="s">
        <v>1223</v>
      </c>
      <c r="AG24" t="s">
        <v>1232</v>
      </c>
      <c r="AH24" t="s">
        <v>1227</v>
      </c>
      <c r="AI24" t="s">
        <v>1235</v>
      </c>
      <c r="AJ24">
        <v>95.999999999999886</v>
      </c>
    </row>
    <row r="25" spans="32:42" x14ac:dyDescent="0.3">
      <c r="AF25" t="s">
        <v>1223</v>
      </c>
      <c r="AG25" t="s">
        <v>1234</v>
      </c>
      <c r="AH25" t="s">
        <v>1227</v>
      </c>
      <c r="AI25" t="s">
        <v>1235</v>
      </c>
      <c r="AJ25">
        <v>87</v>
      </c>
    </row>
    <row r="26" spans="32:42" x14ac:dyDescent="0.3">
      <c r="AF26" t="s">
        <v>1234</v>
      </c>
      <c r="AG26" t="s">
        <v>1223</v>
      </c>
      <c r="AH26" t="s">
        <v>1227</v>
      </c>
      <c r="AI26" t="s">
        <v>1235</v>
      </c>
      <c r="AJ26">
        <v>87</v>
      </c>
    </row>
    <row r="27" spans="32:42" x14ac:dyDescent="0.3">
      <c r="AF27" t="s">
        <v>1223</v>
      </c>
      <c r="AG27" t="s">
        <v>1233</v>
      </c>
      <c r="AH27" t="s">
        <v>1227</v>
      </c>
      <c r="AI27" t="s">
        <v>1235</v>
      </c>
      <c r="AJ27">
        <v>57</v>
      </c>
    </row>
    <row r="28" spans="32:42" x14ac:dyDescent="0.3">
      <c r="AF28" t="s">
        <v>1233</v>
      </c>
      <c r="AG28" t="s">
        <v>1223</v>
      </c>
      <c r="AH28" t="s">
        <v>1227</v>
      </c>
      <c r="AI28" t="s">
        <v>1235</v>
      </c>
      <c r="AJ28">
        <v>57</v>
      </c>
    </row>
  </sheetData>
  <autoFilter ref="AF1:AJ28" xr:uid="{36640B07-54EA-4D7A-89B4-08561E61EF3F}">
    <filterColumn colId="0">
      <filters>
        <filter val="f1"/>
        <filter val="i0"/>
        <filter val="m0"/>
        <filter val="n0"/>
        <filter val="z0"/>
      </filters>
    </filterColumn>
    <filterColumn colId="2">
      <filters>
        <filter val="t1"/>
        <filter val="t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</vt:lpstr>
      <vt:lpstr>Paramter</vt:lpstr>
      <vt:lpstr>Sheet1</vt:lpstr>
      <vt:lpstr>Sheet3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2019-10-19T22:14:11Z</dcterms:modified>
</cp:coreProperties>
</file>